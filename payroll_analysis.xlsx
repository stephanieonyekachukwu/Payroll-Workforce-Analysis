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USER\Documents\"/>
    </mc:Choice>
  </mc:AlternateContent>
  <xr:revisionPtr revIDLastSave="0" documentId="13_ncr:1_{F1640D7A-43BC-4B27-BF43-F14411D05A88}" xr6:coauthVersionLast="47" xr6:coauthVersionMax="47" xr10:uidLastSave="{00000000-0000-0000-0000-000000000000}"/>
  <bookViews>
    <workbookView xWindow="-108" yWindow="-108" windowWidth="23256" windowHeight="12456" firstSheet="6" activeTab="11" xr2:uid="{52CD588E-EA87-4856-86D5-571AF2299870}"/>
  </bookViews>
  <sheets>
    <sheet name="Raw data" sheetId="1" r:id="rId1"/>
    <sheet name="basicsalarybydepartment" sheetId="7" r:id="rId2"/>
    <sheet name="net salary by department" sheetId="8" r:id="rId3"/>
    <sheet name="AVERAGE BASIC SALARY BY YEARS O" sheetId="9" r:id="rId4"/>
    <sheet name="LOAN DEDUCTION" sheetId="11" r:id="rId5"/>
    <sheet name="BASIC AND NET SALARY BY DEPARTM" sheetId="12" r:id="rId6"/>
    <sheet name="pivot" sheetId="17" r:id="rId7"/>
    <sheet name="Salary by gender" sheetId="18" r:id="rId8"/>
    <sheet name="salarydata" sheetId="3" r:id="rId9"/>
    <sheet name="employe benefit" sheetId="5" r:id="rId10"/>
    <sheet name="kpi" sheetId="13" r:id="rId11"/>
    <sheet name="dashboard with interactive kpi" sheetId="16" r:id="rId12"/>
  </sheets>
  <definedNames>
    <definedName name="_xlnm._FilterDatabase" localSheetId="0" hidden="1">'Raw data'!$A$1:$L$1</definedName>
    <definedName name="ExternalData_1" localSheetId="8" hidden="1">salarydata!$A$1:$L$51</definedName>
    <definedName name="healthinsurancepremium">'employe benefit'!$B$11</definedName>
    <definedName name="performancePercentage">salarydata!$AC$2</definedName>
    <definedName name="retirementplan">'employe benefit'!$B$12</definedName>
    <definedName name="Slicer_Department">#N/A</definedName>
    <definedName name="Slicer_Gender">#N/A</definedName>
    <definedName name="Slicer_State">#N/A</definedName>
    <definedName name="Slicer_Years__Hire_Date">#N/A</definedName>
    <definedName name="tax">'employe benefit'!$B$9</definedName>
  </definedNames>
  <calcPr calcId="191029"/>
  <pivotCaches>
    <pivotCache cacheId="1" r:id="rId13"/>
  </pivotCaches>
  <extLs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Y2" i="3" l="1"/>
  <c r="Y3" i="3"/>
  <c r="Y4" i="3"/>
  <c r="Y5" i="3"/>
  <c r="Y6" i="3"/>
  <c r="Y7" i="3"/>
  <c r="Y8" i="3"/>
  <c r="Y9" i="3"/>
  <c r="Y10" i="3"/>
  <c r="Y11" i="3"/>
  <c r="Y12" i="3"/>
  <c r="Y13" i="3"/>
  <c r="Y14" i="3"/>
  <c r="Y15" i="3"/>
  <c r="Y16" i="3"/>
  <c r="Y17" i="3"/>
  <c r="Y18" i="3"/>
  <c r="Y19" i="3"/>
  <c r="Y20" i="3"/>
  <c r="Y21" i="3"/>
  <c r="Y22" i="3"/>
  <c r="Y23" i="3"/>
  <c r="Y24" i="3"/>
  <c r="Y25" i="3"/>
  <c r="Y26" i="3"/>
  <c r="Y27" i="3"/>
  <c r="Y28" i="3"/>
  <c r="Y29" i="3"/>
  <c r="Y30" i="3"/>
  <c r="Y31" i="3"/>
  <c r="Y32" i="3"/>
  <c r="Y33" i="3"/>
  <c r="Y34" i="3"/>
  <c r="Y35" i="3"/>
  <c r="Y36" i="3"/>
  <c r="Y37" i="3"/>
  <c r="Y38" i="3"/>
  <c r="Y39" i="3"/>
  <c r="Y40" i="3"/>
  <c r="Y41" i="3"/>
  <c r="Y42" i="3"/>
  <c r="Y43" i="3"/>
  <c r="Y44" i="3"/>
  <c r="Y45" i="3"/>
  <c r="Y46" i="3"/>
  <c r="Y47" i="3"/>
  <c r="Y48" i="3"/>
  <c r="Y49" i="3"/>
  <c r="Y50" i="3"/>
  <c r="Y51" i="3"/>
  <c r="B14" i="13"/>
  <c r="B13" i="13"/>
  <c r="B12" i="13"/>
  <c r="U7" i="16"/>
  <c r="P7" i="16"/>
  <c r="K7" i="16"/>
  <c r="F7" i="16"/>
  <c r="B7" i="16"/>
  <c r="B9" i="13"/>
  <c r="B8" i="13"/>
  <c r="B7" i="13"/>
  <c r="B6" i="13"/>
  <c r="B5" i="13"/>
  <c r="V45" i="3"/>
  <c r="V23" i="3"/>
  <c r="V11" i="3"/>
  <c r="V38" i="3"/>
  <c r="V15" i="3"/>
  <c r="V8" i="3"/>
  <c r="V31" i="3"/>
  <c r="V2" i="3"/>
  <c r="V47" i="3"/>
  <c r="V28" i="3"/>
  <c r="V43" i="3"/>
  <c r="V19" i="3"/>
  <c r="V10" i="3"/>
  <c r="V27" i="3"/>
  <c r="V16" i="3"/>
  <c r="V4" i="3"/>
  <c r="V49" i="3"/>
  <c r="V33" i="3"/>
  <c r="V40" i="3"/>
  <c r="V25" i="3"/>
  <c r="V12" i="3"/>
  <c r="V20" i="3"/>
  <c r="V13" i="3"/>
  <c r="V6" i="3"/>
  <c r="V46" i="3"/>
  <c r="V36" i="3"/>
  <c r="V41" i="3"/>
  <c r="V21" i="3"/>
  <c r="V9" i="3"/>
  <c r="V30" i="3"/>
  <c r="V17" i="3"/>
  <c r="V3" i="3"/>
  <c r="V51" i="3"/>
  <c r="V32" i="3"/>
  <c r="V44" i="3"/>
  <c r="V29" i="3"/>
  <c r="V14" i="3"/>
  <c r="V34" i="3"/>
  <c r="V22" i="3"/>
  <c r="V7" i="3"/>
  <c r="V48" i="3"/>
  <c r="V39" i="3"/>
  <c r="V42" i="3"/>
  <c r="V26" i="3"/>
  <c r="V18" i="3"/>
  <c r="V37" i="3"/>
  <c r="V24" i="3"/>
  <c r="V5" i="3"/>
  <c r="V50" i="3"/>
  <c r="V35" i="3"/>
  <c r="U45" i="3"/>
  <c r="U23" i="3"/>
  <c r="U11" i="3"/>
  <c r="U38" i="3"/>
  <c r="U15" i="3"/>
  <c r="U8" i="3"/>
  <c r="U31" i="3"/>
  <c r="U2" i="3"/>
  <c r="U47" i="3"/>
  <c r="U28" i="3"/>
  <c r="U43" i="3"/>
  <c r="U19" i="3"/>
  <c r="U10" i="3"/>
  <c r="U27" i="3"/>
  <c r="U16" i="3"/>
  <c r="U4" i="3"/>
  <c r="U49" i="3"/>
  <c r="U33" i="3"/>
  <c r="U40" i="3"/>
  <c r="U25" i="3"/>
  <c r="U12" i="3"/>
  <c r="U20" i="3"/>
  <c r="U13" i="3"/>
  <c r="U6" i="3"/>
  <c r="U46" i="3"/>
  <c r="U36" i="3"/>
  <c r="U41" i="3"/>
  <c r="U21" i="3"/>
  <c r="U9" i="3"/>
  <c r="U30" i="3"/>
  <c r="U17" i="3"/>
  <c r="U3" i="3"/>
  <c r="U51" i="3"/>
  <c r="U32" i="3"/>
  <c r="U44" i="3"/>
  <c r="U29" i="3"/>
  <c r="U14" i="3"/>
  <c r="U34" i="3"/>
  <c r="U22" i="3"/>
  <c r="U7" i="3"/>
  <c r="U48" i="3"/>
  <c r="U39" i="3"/>
  <c r="U42" i="3"/>
  <c r="U26" i="3"/>
  <c r="U18" i="3"/>
  <c r="U37" i="3"/>
  <c r="U24" i="3"/>
  <c r="U5" i="3"/>
  <c r="U50" i="3"/>
  <c r="U35" i="3"/>
  <c r="T45" i="3"/>
  <c r="T23" i="3"/>
  <c r="T11" i="3"/>
  <c r="T38" i="3"/>
  <c r="T15" i="3"/>
  <c r="T8" i="3"/>
  <c r="T31" i="3"/>
  <c r="T2" i="3"/>
  <c r="T47" i="3"/>
  <c r="T28" i="3"/>
  <c r="T43" i="3"/>
  <c r="T19" i="3"/>
  <c r="T10" i="3"/>
  <c r="T27" i="3"/>
  <c r="T16" i="3"/>
  <c r="T4" i="3"/>
  <c r="T49" i="3"/>
  <c r="T33" i="3"/>
  <c r="T40" i="3"/>
  <c r="T25" i="3"/>
  <c r="T12" i="3"/>
  <c r="T20" i="3"/>
  <c r="T13" i="3"/>
  <c r="T6" i="3"/>
  <c r="T46" i="3"/>
  <c r="T36" i="3"/>
  <c r="T41" i="3"/>
  <c r="T21" i="3"/>
  <c r="T9" i="3"/>
  <c r="T30" i="3"/>
  <c r="T17" i="3"/>
  <c r="T3" i="3"/>
  <c r="T51" i="3"/>
  <c r="T32" i="3"/>
  <c r="T44" i="3"/>
  <c r="T29" i="3"/>
  <c r="T14" i="3"/>
  <c r="T34" i="3"/>
  <c r="T22" i="3"/>
  <c r="T7" i="3"/>
  <c r="T48" i="3"/>
  <c r="T39" i="3"/>
  <c r="T42" i="3"/>
  <c r="T26" i="3"/>
  <c r="T18" i="3"/>
  <c r="T37" i="3"/>
  <c r="T24" i="3"/>
  <c r="T5" i="3"/>
  <c r="T50" i="3"/>
  <c r="T35" i="3"/>
  <c r="S45" i="3"/>
  <c r="S23" i="3"/>
  <c r="S11" i="3"/>
  <c r="S38" i="3"/>
  <c r="S15" i="3"/>
  <c r="S8" i="3"/>
  <c r="S31" i="3"/>
  <c r="S2" i="3"/>
  <c r="S47" i="3"/>
  <c r="S28" i="3"/>
  <c r="S43" i="3"/>
  <c r="S19" i="3"/>
  <c r="S10" i="3"/>
  <c r="S27" i="3"/>
  <c r="S16" i="3"/>
  <c r="S4" i="3"/>
  <c r="S49" i="3"/>
  <c r="S33" i="3"/>
  <c r="S40" i="3"/>
  <c r="S25" i="3"/>
  <c r="S12" i="3"/>
  <c r="S20" i="3"/>
  <c r="S13" i="3"/>
  <c r="S6" i="3"/>
  <c r="S46" i="3"/>
  <c r="S36" i="3"/>
  <c r="S41" i="3"/>
  <c r="S21" i="3"/>
  <c r="S9" i="3"/>
  <c r="S30" i="3"/>
  <c r="S17" i="3"/>
  <c r="S3" i="3"/>
  <c r="S51" i="3"/>
  <c r="S32" i="3"/>
  <c r="S44" i="3"/>
  <c r="S29" i="3"/>
  <c r="S14" i="3"/>
  <c r="S34" i="3"/>
  <c r="S22" i="3"/>
  <c r="S7" i="3"/>
  <c r="S48" i="3"/>
  <c r="S39" i="3"/>
  <c r="S42" i="3"/>
  <c r="S26" i="3"/>
  <c r="S18" i="3"/>
  <c r="S37" i="3"/>
  <c r="S24" i="3"/>
  <c r="S5" i="3"/>
  <c r="S50" i="3"/>
  <c r="S35" i="3"/>
  <c r="Q45" i="3"/>
  <c r="Q23" i="3"/>
  <c r="Q11" i="3"/>
  <c r="Q38" i="3"/>
  <c r="Q15" i="3"/>
  <c r="Q8" i="3"/>
  <c r="Q31" i="3"/>
  <c r="Q2" i="3"/>
  <c r="Q47" i="3"/>
  <c r="Q28" i="3"/>
  <c r="Q43" i="3"/>
  <c r="Q19" i="3"/>
  <c r="Q10" i="3"/>
  <c r="Q27" i="3"/>
  <c r="Q16" i="3"/>
  <c r="Q4" i="3"/>
  <c r="Q49" i="3"/>
  <c r="Q33" i="3"/>
  <c r="Q40" i="3"/>
  <c r="Q25" i="3"/>
  <c r="Q12" i="3"/>
  <c r="Q20" i="3"/>
  <c r="Q13" i="3"/>
  <c r="Q6" i="3"/>
  <c r="Q46" i="3"/>
  <c r="Q36" i="3"/>
  <c r="Q41" i="3"/>
  <c r="Q21" i="3"/>
  <c r="Q9" i="3"/>
  <c r="Q30" i="3"/>
  <c r="Q17" i="3"/>
  <c r="Q3" i="3"/>
  <c r="Q51" i="3"/>
  <c r="Q32" i="3"/>
  <c r="Q44" i="3"/>
  <c r="Q29" i="3"/>
  <c r="Q14" i="3"/>
  <c r="Q34" i="3"/>
  <c r="Q22" i="3"/>
  <c r="Q7" i="3"/>
  <c r="Q48" i="3"/>
  <c r="Q39" i="3"/>
  <c r="Q42" i="3"/>
  <c r="Q26" i="3"/>
  <c r="Q18" i="3"/>
  <c r="Q37" i="3"/>
  <c r="Q24" i="3"/>
  <c r="Q5" i="3"/>
  <c r="Q50" i="3"/>
  <c r="Q35" i="3"/>
  <c r="P45" i="3"/>
  <c r="P23" i="3"/>
  <c r="P11" i="3"/>
  <c r="P38" i="3"/>
  <c r="P15" i="3"/>
  <c r="P8" i="3"/>
  <c r="P31" i="3"/>
  <c r="P2" i="3"/>
  <c r="P47" i="3"/>
  <c r="P28" i="3"/>
  <c r="P43" i="3"/>
  <c r="P19" i="3"/>
  <c r="P10" i="3"/>
  <c r="P27" i="3"/>
  <c r="P16" i="3"/>
  <c r="P4" i="3"/>
  <c r="P49" i="3"/>
  <c r="P33" i="3"/>
  <c r="P40" i="3"/>
  <c r="P25" i="3"/>
  <c r="P12" i="3"/>
  <c r="P20" i="3"/>
  <c r="P13" i="3"/>
  <c r="P6" i="3"/>
  <c r="P46" i="3"/>
  <c r="P36" i="3"/>
  <c r="P41" i="3"/>
  <c r="P21" i="3"/>
  <c r="P9" i="3"/>
  <c r="P30" i="3"/>
  <c r="P17" i="3"/>
  <c r="P3" i="3"/>
  <c r="P51" i="3"/>
  <c r="P32" i="3"/>
  <c r="P44" i="3"/>
  <c r="P29" i="3"/>
  <c r="P14" i="3"/>
  <c r="P34" i="3"/>
  <c r="P22" i="3"/>
  <c r="P7" i="3"/>
  <c r="P48" i="3"/>
  <c r="P39" i="3"/>
  <c r="P42" i="3"/>
  <c r="P26" i="3"/>
  <c r="P18" i="3"/>
  <c r="P37" i="3"/>
  <c r="P24" i="3"/>
  <c r="P5" i="3"/>
  <c r="P50" i="3"/>
  <c r="P35" i="3"/>
  <c r="O45" i="3"/>
  <c r="O23" i="3"/>
  <c r="O11" i="3"/>
  <c r="O38" i="3"/>
  <c r="O15" i="3"/>
  <c r="O8" i="3"/>
  <c r="O31" i="3"/>
  <c r="O2" i="3"/>
  <c r="O47" i="3"/>
  <c r="O28" i="3"/>
  <c r="O43" i="3"/>
  <c r="O19" i="3"/>
  <c r="O10" i="3"/>
  <c r="O27" i="3"/>
  <c r="O16" i="3"/>
  <c r="O4" i="3"/>
  <c r="O49" i="3"/>
  <c r="O33" i="3"/>
  <c r="O40" i="3"/>
  <c r="O25" i="3"/>
  <c r="O12" i="3"/>
  <c r="O20" i="3"/>
  <c r="O13" i="3"/>
  <c r="O6" i="3"/>
  <c r="O46" i="3"/>
  <c r="O36" i="3"/>
  <c r="O41" i="3"/>
  <c r="O21" i="3"/>
  <c r="O9" i="3"/>
  <c r="O30" i="3"/>
  <c r="O17" i="3"/>
  <c r="O3" i="3"/>
  <c r="O51" i="3"/>
  <c r="O32" i="3"/>
  <c r="O44" i="3"/>
  <c r="O29" i="3"/>
  <c r="O14" i="3"/>
  <c r="O34" i="3"/>
  <c r="O22" i="3"/>
  <c r="O7" i="3"/>
  <c r="O48" i="3"/>
  <c r="O39" i="3"/>
  <c r="O42" i="3"/>
  <c r="O26" i="3"/>
  <c r="O18" i="3"/>
  <c r="O37" i="3"/>
  <c r="O24" i="3"/>
  <c r="O5" i="3"/>
  <c r="O50" i="3"/>
  <c r="O35" i="3"/>
  <c r="M45" i="3"/>
  <c r="M23" i="3"/>
  <c r="M11" i="3"/>
  <c r="M38" i="3"/>
  <c r="M15" i="3"/>
  <c r="M8" i="3"/>
  <c r="M31" i="3"/>
  <c r="M2" i="3"/>
  <c r="M47" i="3"/>
  <c r="M28" i="3"/>
  <c r="M43" i="3"/>
  <c r="M19" i="3"/>
  <c r="M10" i="3"/>
  <c r="M27" i="3"/>
  <c r="M16" i="3"/>
  <c r="M4" i="3"/>
  <c r="M49" i="3"/>
  <c r="M33" i="3"/>
  <c r="M40" i="3"/>
  <c r="M25" i="3"/>
  <c r="M12" i="3"/>
  <c r="M20" i="3"/>
  <c r="M13" i="3"/>
  <c r="M6" i="3"/>
  <c r="M46" i="3"/>
  <c r="M36" i="3"/>
  <c r="M41" i="3"/>
  <c r="M21" i="3"/>
  <c r="M9" i="3"/>
  <c r="M30" i="3"/>
  <c r="M17" i="3"/>
  <c r="M3" i="3"/>
  <c r="M51" i="3"/>
  <c r="M32" i="3"/>
  <c r="M44" i="3"/>
  <c r="M29" i="3"/>
  <c r="M14" i="3"/>
  <c r="M34" i="3"/>
  <c r="M22" i="3"/>
  <c r="M7" i="3"/>
  <c r="M48" i="3"/>
  <c r="M39" i="3"/>
  <c r="M42" i="3"/>
  <c r="M26" i="3"/>
  <c r="M18" i="3"/>
  <c r="M37" i="3"/>
  <c r="M24" i="3"/>
  <c r="M5" i="3"/>
  <c r="M50" i="3"/>
  <c r="M35" i="3"/>
  <c r="N45" i="3"/>
  <c r="N23" i="3"/>
  <c r="N11" i="3"/>
  <c r="N38" i="3"/>
  <c r="N15" i="3"/>
  <c r="N8" i="3"/>
  <c r="N31" i="3"/>
  <c r="N2" i="3"/>
  <c r="N47" i="3"/>
  <c r="N28" i="3"/>
  <c r="N43" i="3"/>
  <c r="N19" i="3"/>
  <c r="N10" i="3"/>
  <c r="N27" i="3"/>
  <c r="N16" i="3"/>
  <c r="N4" i="3"/>
  <c r="N49" i="3"/>
  <c r="N33" i="3"/>
  <c r="N40" i="3"/>
  <c r="N25" i="3"/>
  <c r="N12" i="3"/>
  <c r="N20" i="3"/>
  <c r="N13" i="3"/>
  <c r="N6" i="3"/>
  <c r="N46" i="3"/>
  <c r="N36" i="3"/>
  <c r="N41" i="3"/>
  <c r="N21" i="3"/>
  <c r="N9" i="3"/>
  <c r="N30" i="3"/>
  <c r="N17" i="3"/>
  <c r="N3" i="3"/>
  <c r="N51" i="3"/>
  <c r="N32" i="3"/>
  <c r="N44" i="3"/>
  <c r="N29" i="3"/>
  <c r="N14" i="3"/>
  <c r="N34" i="3"/>
  <c r="N22" i="3"/>
  <c r="N7" i="3"/>
  <c r="N48" i="3"/>
  <c r="N39" i="3"/>
  <c r="N42" i="3"/>
  <c r="N26" i="3"/>
  <c r="N18" i="3"/>
  <c r="N37" i="3"/>
  <c r="N24" i="3"/>
  <c r="N5" i="3"/>
  <c r="N50" i="3"/>
  <c r="N35" i="3"/>
  <c r="B15" i="13" l="1"/>
  <c r="W17" i="3"/>
  <c r="W44" i="3"/>
  <c r="W48" i="3"/>
  <c r="W18" i="3"/>
  <c r="W35" i="3"/>
  <c r="W15" i="3"/>
  <c r="W8" i="3"/>
  <c r="W31" i="3"/>
  <c r="W2" i="3"/>
  <c r="W47" i="3"/>
  <c r="W28" i="3"/>
  <c r="W43" i="3"/>
  <c r="W19" i="3"/>
  <c r="W10" i="3"/>
  <c r="W27" i="3"/>
  <c r="W16" i="3"/>
  <c r="W4" i="3"/>
  <c r="W49" i="3"/>
  <c r="W33" i="3"/>
  <c r="W40" i="3"/>
  <c r="W25" i="3"/>
  <c r="W12" i="3"/>
  <c r="W20" i="3"/>
  <c r="W13" i="3"/>
  <c r="W6" i="3"/>
  <c r="W46" i="3"/>
  <c r="W36" i="3"/>
  <c r="W30" i="3"/>
  <c r="W29" i="3"/>
  <c r="W39" i="3"/>
  <c r="W24" i="3"/>
  <c r="W23" i="3"/>
  <c r="W3" i="3"/>
  <c r="W32" i="3"/>
  <c r="W22" i="3"/>
  <c r="W26" i="3"/>
  <c r="W50" i="3"/>
  <c r="W38" i="3"/>
  <c r="W21" i="3"/>
  <c r="W51" i="3"/>
  <c r="W34" i="3"/>
  <c r="W42" i="3"/>
  <c r="W5" i="3"/>
  <c r="W11" i="3"/>
  <c r="W9" i="3"/>
  <c r="W14" i="3"/>
  <c r="W7" i="3"/>
  <c r="W37" i="3"/>
  <c r="W45" i="3"/>
  <c r="W41" i="3"/>
  <c r="R37" i="3"/>
  <c r="R20" i="3"/>
  <c r="R13" i="3"/>
  <c r="R6" i="3"/>
  <c r="R46" i="3"/>
  <c r="R36" i="3"/>
  <c r="R41" i="3"/>
  <c r="R21" i="3"/>
  <c r="R9" i="3"/>
  <c r="R30" i="3"/>
  <c r="R17" i="3"/>
  <c r="X17" i="3" s="1"/>
  <c r="R3" i="3"/>
  <c r="R51" i="3"/>
  <c r="R32" i="3"/>
  <c r="X32" i="3" s="1"/>
  <c r="R44" i="3"/>
  <c r="X44" i="3" s="1"/>
  <c r="R29" i="3"/>
  <c r="R14" i="3"/>
  <c r="R34" i="3"/>
  <c r="X34" i="3" s="1"/>
  <c r="R22" i="3"/>
  <c r="X22" i="3" s="1"/>
  <c r="R7" i="3"/>
  <c r="X7" i="3" s="1"/>
  <c r="R48" i="3"/>
  <c r="X48" i="3" s="1"/>
  <c r="R39" i="3"/>
  <c r="R42" i="3"/>
  <c r="R26" i="3"/>
  <c r="X26" i="3" s="1"/>
  <c r="R24" i="3"/>
  <c r="R5" i="3"/>
  <c r="R18" i="3"/>
  <c r="X18" i="3" s="1"/>
  <c r="R50" i="3"/>
  <c r="X50" i="3" s="1"/>
  <c r="R12" i="3"/>
  <c r="R35" i="3"/>
  <c r="R45" i="3"/>
  <c r="R23" i="3"/>
  <c r="R11" i="3"/>
  <c r="R38" i="3"/>
  <c r="R15" i="3"/>
  <c r="R8" i="3"/>
  <c r="R31" i="3"/>
  <c r="X31" i="3" s="1"/>
  <c r="R2" i="3"/>
  <c r="X2" i="3" s="1"/>
  <c r="R47" i="3"/>
  <c r="X47" i="3" s="1"/>
  <c r="R28" i="3"/>
  <c r="X28" i="3" s="1"/>
  <c r="R43" i="3"/>
  <c r="X43" i="3" s="1"/>
  <c r="R19" i="3"/>
  <c r="X19" i="3" s="1"/>
  <c r="R10" i="3"/>
  <c r="R27" i="3"/>
  <c r="R16" i="3"/>
  <c r="X16" i="3" s="1"/>
  <c r="R4" i="3"/>
  <c r="X4" i="3" s="1"/>
  <c r="R49" i="3"/>
  <c r="R33" i="3"/>
  <c r="R40" i="3"/>
  <c r="R25" i="3"/>
  <c r="B2" i="13" l="1"/>
  <c r="X36" i="3"/>
  <c r="X3" i="3"/>
  <c r="X24" i="3"/>
  <c r="X30" i="3"/>
  <c r="X29" i="3"/>
  <c r="X39" i="3"/>
  <c r="X37" i="3"/>
  <c r="X13" i="3"/>
  <c r="X6" i="3"/>
  <c r="X46" i="3"/>
  <c r="X41" i="3"/>
  <c r="X21" i="3"/>
  <c r="X9" i="3"/>
  <c r="X35" i="3"/>
  <c r="X45" i="3"/>
  <c r="X23" i="3"/>
  <c r="X11" i="3"/>
  <c r="X38" i="3"/>
  <c r="X10" i="3"/>
  <c r="X27" i="3"/>
  <c r="B3" i="13"/>
  <c r="X20" i="3"/>
  <c r="X51" i="3"/>
  <c r="X14" i="3"/>
  <c r="X42" i="3"/>
  <c r="X5" i="3"/>
  <c r="X12" i="3"/>
  <c r="X15" i="3"/>
  <c r="X8" i="3"/>
  <c r="X49" i="3"/>
  <c r="X33" i="3"/>
  <c r="X40" i="3"/>
  <c r="X25" i="3"/>
  <c r="B4" i="1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3E87F36-57CD-458A-9057-447E22FB6E72}" keepAlive="1" name="Query - Hire Date" description="Connection to the 'Hire Date' query in the workbook." type="5" refreshedVersion="8" background="1" saveData="1">
    <dbPr connection="Provider=Microsoft.Mashup.OleDb.1;Data Source=$Workbook$;Location=&quot;Hire Date&quot;;Extended Properties=&quot;&quot;" command="SELECT * FROM [Hire Date]"/>
  </connection>
  <connection id="2" xr16:uid="{571A0F74-8FFF-4F5A-AAB1-9077A051C5F1}" keepAlive="1" name="Query - salarydata" description="Connection to the 'salarydata' query in the workbook." type="5" refreshedVersion="8" background="1" saveData="1">
    <dbPr connection="Provider=Microsoft.Mashup.OleDb.1;Data Source=$Workbook$;Location=salarydata;Extended Properties=&quot;&quot;" command="SELECT * FROM [salarydata]"/>
  </connection>
  <connection id="3" xr16:uid="{FF9C89BA-6FD8-4F20-8BB0-245FD51F39B1}" keepAlive="1" name="Query - salarydata (2)" description="Connection to the 'salarydata (2)' query in the workbook." type="5" refreshedVersion="8" background="1" saveData="1">
    <dbPr connection="Provider=Microsoft.Mashup.OleDb.1;Data Source=$Workbook$;Location=&quot;salarydata (2)&quot;;Extended Properties=&quot;&quot;" command="SELECT * FROM [salarydata (2)]"/>
  </connection>
</connections>
</file>

<file path=xl/sharedStrings.xml><?xml version="1.0" encoding="utf-8"?>
<sst xmlns="http://schemas.openxmlformats.org/spreadsheetml/2006/main" count="883" uniqueCount="248">
  <si>
    <t>Employee ID</t>
  </si>
  <si>
    <t>First Name</t>
  </si>
  <si>
    <t>Last Name</t>
  </si>
  <si>
    <t>Department</t>
  </si>
  <si>
    <t>Gender</t>
  </si>
  <si>
    <t>Age</t>
  </si>
  <si>
    <t>State</t>
  </si>
  <si>
    <t>Hire Date</t>
  </si>
  <si>
    <t>Phone Number</t>
  </si>
  <si>
    <t>Basic Salary</t>
  </si>
  <si>
    <t>Account Number</t>
  </si>
  <si>
    <t>Bank Name</t>
  </si>
  <si>
    <t>MDT001</t>
  </si>
  <si>
    <t>Daniel</t>
  </si>
  <si>
    <t>Adewale</t>
  </si>
  <si>
    <t>ICT</t>
  </si>
  <si>
    <t>Male</t>
  </si>
  <si>
    <t>Lagos</t>
  </si>
  <si>
    <t>15/03/2021</t>
  </si>
  <si>
    <t>GTBank</t>
  </si>
  <si>
    <t>MDT002</t>
  </si>
  <si>
    <t>Grace</t>
  </si>
  <si>
    <t>Okafor</t>
  </si>
  <si>
    <t>HR</t>
  </si>
  <si>
    <t>Female</t>
  </si>
  <si>
    <t>Anambra</t>
  </si>
  <si>
    <t>Access Bank</t>
  </si>
  <si>
    <t>MDT003</t>
  </si>
  <si>
    <t>Michael</t>
  </si>
  <si>
    <t>Ibrahim</t>
  </si>
  <si>
    <t>Security</t>
  </si>
  <si>
    <t>Kaduna</t>
  </si>
  <si>
    <t>22/01/2018</t>
  </si>
  <si>
    <t>First Bank</t>
  </si>
  <si>
    <t>MDT004</t>
  </si>
  <si>
    <t>Esther</t>
  </si>
  <si>
    <t>Balogun</t>
  </si>
  <si>
    <t>Account</t>
  </si>
  <si>
    <t>Ogun</t>
  </si>
  <si>
    <t>UBA</t>
  </si>
  <si>
    <t>MDT005</t>
  </si>
  <si>
    <t>Samuel</t>
  </si>
  <si>
    <t>Okoro</t>
  </si>
  <si>
    <t>Sales</t>
  </si>
  <si>
    <t>Enugu</t>
  </si>
  <si>
    <t>14/11/2023</t>
  </si>
  <si>
    <t>Zenith Bank</t>
  </si>
  <si>
    <t>MDT006</t>
  </si>
  <si>
    <t>Blessing</t>
  </si>
  <si>
    <t>Eze</t>
  </si>
  <si>
    <t>Customer Service</t>
  </si>
  <si>
    <t>Imo</t>
  </si>
  <si>
    <t>Fidelity Bank</t>
  </si>
  <si>
    <t>MDT007</t>
  </si>
  <si>
    <t>David</t>
  </si>
  <si>
    <t>Yusuf</t>
  </si>
  <si>
    <t>Marketing</t>
  </si>
  <si>
    <t>Kano</t>
  </si>
  <si>
    <t>18/09/2020</t>
  </si>
  <si>
    <t>MDT008</t>
  </si>
  <si>
    <t>Mercy</t>
  </si>
  <si>
    <t>Johnson</t>
  </si>
  <si>
    <t>Cleaning</t>
  </si>
  <si>
    <t>MDT009</t>
  </si>
  <si>
    <t>Joseph</t>
  </si>
  <si>
    <t>Adekunle</t>
  </si>
  <si>
    <t>Oyo</t>
  </si>
  <si>
    <t>MDT010</t>
  </si>
  <si>
    <t>Sarah</t>
  </si>
  <si>
    <t>Mohammed</t>
  </si>
  <si>
    <t>Abuja</t>
  </si>
  <si>
    <t>25/07/2021</t>
  </si>
  <si>
    <t>MDT011</t>
  </si>
  <si>
    <t>Peter</t>
  </si>
  <si>
    <t>Nwosu</t>
  </si>
  <si>
    <t>16/05/2016</t>
  </si>
  <si>
    <t>MDT012</t>
  </si>
  <si>
    <t>Janet</t>
  </si>
  <si>
    <t>Williams</t>
  </si>
  <si>
    <t>Rivers</t>
  </si>
  <si>
    <t>20/10/2022</t>
  </si>
  <si>
    <t>MDT013</t>
  </si>
  <si>
    <t>Victor</t>
  </si>
  <si>
    <t>Chukwu</t>
  </si>
  <si>
    <t>MDT014</t>
  </si>
  <si>
    <t>Aisha</t>
  </si>
  <si>
    <t>Bello</t>
  </si>
  <si>
    <t>MDT015</t>
  </si>
  <si>
    <t>Emmanuel</t>
  </si>
  <si>
    <t>Obi</t>
  </si>
  <si>
    <t>19/06/2015</t>
  </si>
  <si>
    <t>MDT016</t>
  </si>
  <si>
    <t>Favour</t>
  </si>
  <si>
    <t>Delta</t>
  </si>
  <si>
    <t>13/08/2019</t>
  </si>
  <si>
    <t>MDT017</t>
  </si>
  <si>
    <t>Andrew</t>
  </si>
  <si>
    <t>Musa</t>
  </si>
  <si>
    <t>MDT018</t>
  </si>
  <si>
    <t>Rita</t>
  </si>
  <si>
    <t>Ojo</t>
  </si>
  <si>
    <t>17/09/2017</t>
  </si>
  <si>
    <t>MDT019</t>
  </si>
  <si>
    <t>Benjamin</t>
  </si>
  <si>
    <t>Umeh</t>
  </si>
  <si>
    <t>Abia</t>
  </si>
  <si>
    <t>21/01/2023</t>
  </si>
  <si>
    <t>MDT020</t>
  </si>
  <si>
    <t>Helen</t>
  </si>
  <si>
    <t>Adeyemi</t>
  </si>
  <si>
    <t>MDT021</t>
  </si>
  <si>
    <t>Francis</t>
  </si>
  <si>
    <t>Okeke</t>
  </si>
  <si>
    <t>15/10/2021</t>
  </si>
  <si>
    <t>MDT022</t>
  </si>
  <si>
    <t>Linda</t>
  </si>
  <si>
    <t>MDT023</t>
  </si>
  <si>
    <t>Isaac</t>
  </si>
  <si>
    <t>Lawal</t>
  </si>
  <si>
    <t>Kwara</t>
  </si>
  <si>
    <t>MDT024</t>
  </si>
  <si>
    <t>Comfort</t>
  </si>
  <si>
    <t>Essien</t>
  </si>
  <si>
    <t>Akwa Ibom</t>
  </si>
  <si>
    <t>23/02/2016</t>
  </si>
  <si>
    <t>MDT025</t>
  </si>
  <si>
    <t>Christopher</t>
  </si>
  <si>
    <t>George</t>
  </si>
  <si>
    <t>14/08/2022</t>
  </si>
  <si>
    <t>MDT026</t>
  </si>
  <si>
    <t>Patience</t>
  </si>
  <si>
    <t>30/11/2019</t>
  </si>
  <si>
    <t>MDT027</t>
  </si>
  <si>
    <t>Timothy</t>
  </si>
  <si>
    <t>Adebayo</t>
  </si>
  <si>
    <t>18/04/2023</t>
  </si>
  <si>
    <t>MDT028</t>
  </si>
  <si>
    <t>Sharon</t>
  </si>
  <si>
    <t>James</t>
  </si>
  <si>
    <t>MDT029</t>
  </si>
  <si>
    <t>Gabriel</t>
  </si>
  <si>
    <t>Sunday</t>
  </si>
  <si>
    <t>Edo</t>
  </si>
  <si>
    <t>16/06/2024</t>
  </si>
  <si>
    <t>MDT030</t>
  </si>
  <si>
    <t>Naomi</t>
  </si>
  <si>
    <t>Abubakar</t>
  </si>
  <si>
    <t>MDT031</t>
  </si>
  <si>
    <t>Stephen</t>
  </si>
  <si>
    <t>MDT032</t>
  </si>
  <si>
    <t>Rebecca</t>
  </si>
  <si>
    <t>Plateau</t>
  </si>
  <si>
    <t>22/09/2021</t>
  </si>
  <si>
    <t>MDT033</t>
  </si>
  <si>
    <t>Anthony</t>
  </si>
  <si>
    <t>17/05/2016</t>
  </si>
  <si>
    <t>MDT034</t>
  </si>
  <si>
    <t>Florence</t>
  </si>
  <si>
    <t>MDT035</t>
  </si>
  <si>
    <t>Charles</t>
  </si>
  <si>
    <t>14/07/2019</t>
  </si>
  <si>
    <t>MDT036</t>
  </si>
  <si>
    <t>Susan</t>
  </si>
  <si>
    <t>Adeola</t>
  </si>
  <si>
    <t>25/01/2017</t>
  </si>
  <si>
    <t>MDT037</t>
  </si>
  <si>
    <t>Richard</t>
  </si>
  <si>
    <t>MDT038</t>
  </si>
  <si>
    <t>Caroline</t>
  </si>
  <si>
    <t>19/08/2022</t>
  </si>
  <si>
    <t>MDT039</t>
  </si>
  <si>
    <t>Matthew</t>
  </si>
  <si>
    <t>MDT040</t>
  </si>
  <si>
    <t>Angela</t>
  </si>
  <si>
    <t>15/12/2018</t>
  </si>
  <si>
    <t>MDT041</t>
  </si>
  <si>
    <t>Kenneth</t>
  </si>
  <si>
    <t>MDT042</t>
  </si>
  <si>
    <t>Deborah</t>
  </si>
  <si>
    <t>21/09/2017</t>
  </si>
  <si>
    <t>MDT043</t>
  </si>
  <si>
    <t>MDT044</t>
  </si>
  <si>
    <t>Jennifer</t>
  </si>
  <si>
    <t>MDT045</t>
  </si>
  <si>
    <t>Lawrence</t>
  </si>
  <si>
    <t>16/02/2019</t>
  </si>
  <si>
    <t>MDT046</t>
  </si>
  <si>
    <t>Monica</t>
  </si>
  <si>
    <t>24/10/2020</t>
  </si>
  <si>
    <t>MDT047</t>
  </si>
  <si>
    <t>13/03/2017</t>
  </si>
  <si>
    <t>MDT048</t>
  </si>
  <si>
    <t>MDT049</t>
  </si>
  <si>
    <t>18/11/2018</t>
  </si>
  <si>
    <t>MDT050</t>
  </si>
  <si>
    <t>Elizabeth</t>
  </si>
  <si>
    <t>27/04/2020</t>
  </si>
  <si>
    <t xml:space="preserve"> -Performance Bonus (1%)</t>
  </si>
  <si>
    <t>- House Allowance (15%)</t>
  </si>
  <si>
    <t>- Transport Allowance (5%)</t>
  </si>
  <si>
    <t>- wordrope Allowance (2%)</t>
  </si>
  <si>
    <t>- Over Time(2%)</t>
  </si>
  <si>
    <t>- Gross Salary</t>
  </si>
  <si>
    <t>- Loan(1%)</t>
  </si>
  <si>
    <t>- Tax(5%)</t>
  </si>
  <si>
    <t>employe benefits</t>
  </si>
  <si>
    <t>Column1</t>
  </si>
  <si>
    <t xml:space="preserve"> - Health Insurance Premium(2%)</t>
  </si>
  <si>
    <t xml:space="preserve">    - Retirement Plan(2%)</t>
  </si>
  <si>
    <t>-Total DEDUCTION.</t>
  </si>
  <si>
    <t xml:space="preserve">-NET SALARY </t>
  </si>
  <si>
    <t>Row Labels</t>
  </si>
  <si>
    <t>Grand Total</t>
  </si>
  <si>
    <t>Sum of Basic Salary</t>
  </si>
  <si>
    <t>Sum of - Loan(1%)</t>
  </si>
  <si>
    <t>Sum of - Tax(5%)</t>
  </si>
  <si>
    <t xml:space="preserve">Sum of -NET SALARY </t>
  </si>
  <si>
    <t>2015</t>
  </si>
  <si>
    <t>2016</t>
  </si>
  <si>
    <t>2017</t>
  </si>
  <si>
    <t>2018</t>
  </si>
  <si>
    <t>2019</t>
  </si>
  <si>
    <t>2020</t>
  </si>
  <si>
    <t>2021</t>
  </si>
  <si>
    <t>2022</t>
  </si>
  <si>
    <t>2023</t>
  </si>
  <si>
    <t>2024</t>
  </si>
  <si>
    <t>Average of Basic Salary</t>
  </si>
  <si>
    <t>Sum of  - Health Insurance Premium(2%)</t>
  </si>
  <si>
    <t>Sum of     - Retirement Plan(2%)</t>
  </si>
  <si>
    <t>Total Deduction</t>
  </si>
  <si>
    <t>Total Gross Payroll</t>
  </si>
  <si>
    <t>Total Net Payroll</t>
  </si>
  <si>
    <t>Lowest Salary Earner</t>
  </si>
  <si>
    <t>Highest Salary</t>
  </si>
  <si>
    <t>Total Employee</t>
  </si>
  <si>
    <t>KPI</t>
  </si>
  <si>
    <t>VALUES</t>
  </si>
  <si>
    <t>Average Salary</t>
  </si>
  <si>
    <t>least salary</t>
  </si>
  <si>
    <t>Count of Employee ID</t>
  </si>
  <si>
    <t>Sum of -Total DEDUCTION.</t>
  </si>
  <si>
    <t>Sum of - Gross Salary</t>
  </si>
  <si>
    <t>basic salary</t>
  </si>
  <si>
    <t>Avg Female basic salary</t>
  </si>
  <si>
    <t>Avg Male basic salary</t>
  </si>
  <si>
    <t>employee tenure</t>
  </si>
  <si>
    <t>Avg  employee tenure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</si>
</sst>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 [$₦-467]"/>
    <numFmt numFmtId="165" formatCode="[$₦-468]\ #,##0.00"/>
    <numFmt numFmtId="166" formatCode="[$₦-468]\ #,##0.00;\-[$₦-468]\ #,##0.00"/>
    <numFmt numFmtId="167" formatCode="_-[$₦-466]\ * #,##0.00_-;\-[$₦-466]\ * #,##0.00_-;_-[$₦-466]\ * &quot;-&quot;??_-;_-@_-"/>
    <numFmt numFmtId="168" formatCode="[$₦-466]\ #,##0.00"/>
  </numFmts>
  <fonts count="5" x14ac:knownFonts="1">
    <font>
      <sz val="11"/>
      <color theme="1"/>
      <name val="Calibri"/>
      <family val="2"/>
      <scheme val="minor"/>
    </font>
    <font>
      <b/>
      <sz val="11"/>
      <color theme="1"/>
      <name val="Calibri"/>
      <family val="2"/>
      <scheme val="minor"/>
    </font>
    <font>
      <b/>
      <sz val="24"/>
      <color theme="1"/>
      <name val="Calibri"/>
      <family val="2"/>
      <scheme val="minor"/>
    </font>
    <font>
      <b/>
      <sz val="22"/>
      <color theme="1"/>
      <name val="Calibri"/>
      <family val="2"/>
      <scheme val="minor"/>
    </font>
    <font>
      <b/>
      <sz val="20"/>
      <color theme="1"/>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8">
    <xf numFmtId="0" fontId="0" fillId="0" borderId="0" xfId="0"/>
    <xf numFmtId="14" fontId="0" fillId="0" borderId="0" xfId="0" applyNumberFormat="1"/>
    <xf numFmtId="0" fontId="0" fillId="0" borderId="0" xfId="0" applyAlignment="1">
      <alignment vertical="center"/>
    </xf>
    <xf numFmtId="9" fontId="0" fillId="0" borderId="0" xfId="0" applyNumberForma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6" fontId="0" fillId="0" borderId="0" xfId="0" applyNumberFormat="1"/>
    <xf numFmtId="0" fontId="1" fillId="0" borderId="0" xfId="0" applyFont="1"/>
    <xf numFmtId="0" fontId="0" fillId="2" borderId="0" xfId="0" applyFill="1"/>
    <xf numFmtId="0" fontId="4" fillId="3" borderId="0" xfId="0" applyFont="1" applyFill="1" applyAlignment="1">
      <alignment horizontal="center" vertical="center"/>
    </xf>
    <xf numFmtId="0" fontId="0" fillId="2" borderId="0" xfId="0" applyFill="1" applyAlignment="1">
      <alignment horizontal="center" vertical="center"/>
    </xf>
    <xf numFmtId="167" fontId="2" fillId="3" borderId="0" xfId="0" applyNumberFormat="1" applyFont="1" applyFill="1" applyAlignment="1">
      <alignment horizontal="center"/>
    </xf>
    <xf numFmtId="167" fontId="2" fillId="3" borderId="0" xfId="0" applyNumberFormat="1" applyFont="1" applyFill="1" applyAlignment="1">
      <alignment horizontal="center" vertical="center"/>
    </xf>
    <xf numFmtId="167" fontId="3" fillId="3" borderId="0" xfId="0" applyNumberFormat="1" applyFont="1" applyFill="1" applyAlignment="1">
      <alignment horizontal="center" vertical="top"/>
    </xf>
    <xf numFmtId="168" fontId="0" fillId="0" borderId="0" xfId="0" applyNumberFormat="1"/>
    <xf numFmtId="0" fontId="0" fillId="0" borderId="0" xfId="0" applyNumberFormat="1"/>
  </cellXfs>
  <cellStyles count="1">
    <cellStyle name="Normal" xfId="0" builtinId="0"/>
  </cellStyles>
  <dxfs count="18">
    <dxf>
      <numFmt numFmtId="0" formatCode="General"/>
    </dxf>
    <dxf>
      <numFmt numFmtId="13" formatCode="0%"/>
    </dxf>
    <dxf>
      <alignment horizontal="general" vertical="center" textRotation="0" wrapText="0" indent="0" justifyLastLine="0" shrinkToFit="0" readingOrder="0"/>
    </dxf>
    <dxf>
      <numFmt numFmtId="13" formatCode="0%"/>
    </dxf>
    <dxf>
      <alignment horizontal="general" vertical="center"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[github-salary_sheduled_management_assignment.xlsx]basicsalarybydepartment!PivotTable2</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Basic</a:t>
            </a:r>
            <a:r>
              <a:rPr lang="en-US" b="1" baseline="0"/>
              <a:t> salary by department</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basicsalarybydepartment!$B$3</c:f>
              <c:strCache>
                <c:ptCount val="1"/>
                <c:pt idx="0">
                  <c:v>Total</c:v>
                </c:pt>
              </c:strCache>
            </c:strRef>
          </c:tx>
          <c:spPr>
            <a:solidFill>
              <a:schemeClr val="accent1"/>
            </a:solidFill>
            <a:ln>
              <a:noFill/>
            </a:ln>
            <a:effectLst/>
            <a:sp3d/>
          </c:spPr>
          <c:invertIfNegative val="0"/>
          <c:cat>
            <c:strRef>
              <c:f>basicsalarybydepartment!$A$4:$A$12</c:f>
              <c:strCache>
                <c:ptCount val="8"/>
                <c:pt idx="0">
                  <c:v>ICT</c:v>
                </c:pt>
                <c:pt idx="1">
                  <c:v>HR</c:v>
                </c:pt>
                <c:pt idx="2">
                  <c:v>Account</c:v>
                </c:pt>
                <c:pt idx="3">
                  <c:v>Marketing</c:v>
                </c:pt>
                <c:pt idx="4">
                  <c:v>Sales</c:v>
                </c:pt>
                <c:pt idx="5">
                  <c:v>Security</c:v>
                </c:pt>
                <c:pt idx="6">
                  <c:v>Customer Service</c:v>
                </c:pt>
                <c:pt idx="7">
                  <c:v>Cleaning</c:v>
                </c:pt>
              </c:strCache>
            </c:strRef>
          </c:cat>
          <c:val>
            <c:numRef>
              <c:f>basicsalarybydepartment!$B$4:$B$12</c:f>
              <c:numCache>
                <c:formatCode>#,##0.00\ [$₦-467]</c:formatCode>
                <c:ptCount val="8"/>
                <c:pt idx="0">
                  <c:v>3680000</c:v>
                </c:pt>
                <c:pt idx="1">
                  <c:v>2485000</c:v>
                </c:pt>
                <c:pt idx="2">
                  <c:v>2435000</c:v>
                </c:pt>
                <c:pt idx="3">
                  <c:v>2070000</c:v>
                </c:pt>
                <c:pt idx="4">
                  <c:v>1915000</c:v>
                </c:pt>
                <c:pt idx="5">
                  <c:v>1810000</c:v>
                </c:pt>
                <c:pt idx="6">
                  <c:v>1665000</c:v>
                </c:pt>
                <c:pt idx="7">
                  <c:v>1160000</c:v>
                </c:pt>
              </c:numCache>
            </c:numRef>
          </c:val>
          <c:extLst>
            <c:ext xmlns:c16="http://schemas.microsoft.com/office/drawing/2014/chart" uri="{C3380CC4-5D6E-409C-BE32-E72D297353CC}">
              <c16:uniqueId val="{00000000-FA2E-4496-9CAA-7104F4651F59}"/>
            </c:ext>
          </c:extLst>
        </c:ser>
        <c:dLbls>
          <c:showLegendKey val="0"/>
          <c:showVal val="0"/>
          <c:showCatName val="0"/>
          <c:showSerName val="0"/>
          <c:showPercent val="0"/>
          <c:showBubbleSize val="0"/>
        </c:dLbls>
        <c:gapWidth val="219"/>
        <c:shape val="box"/>
        <c:axId val="1999075376"/>
        <c:axId val="2000983328"/>
        <c:axId val="0"/>
      </c:bar3DChart>
      <c:catAx>
        <c:axId val="1999075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0983328"/>
        <c:crosses val="autoZero"/>
        <c:auto val="1"/>
        <c:lblAlgn val="ctr"/>
        <c:lblOffset val="100"/>
        <c:noMultiLvlLbl val="0"/>
      </c:catAx>
      <c:valAx>
        <c:axId val="2000983328"/>
        <c:scaling>
          <c:orientation val="minMax"/>
        </c:scaling>
        <c:delete val="0"/>
        <c:axPos val="l"/>
        <c:majorGridlines>
          <c:spPr>
            <a:ln w="9525" cap="flat" cmpd="sng" algn="ctr">
              <a:solidFill>
                <a:schemeClr val="tx1">
                  <a:lumMod val="15000"/>
                  <a:lumOff val="85000"/>
                </a:schemeClr>
              </a:solidFill>
              <a:round/>
            </a:ln>
            <a:effectLst/>
          </c:spPr>
        </c:majorGridlines>
        <c:numFmt formatCode="#,##0.00\ [$₦-467]"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075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[github-salary_sheduled_management_assignment.xlsx]net salary by department!PivotTable3</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b="1"/>
              <a:t>Ne</a:t>
            </a:r>
            <a:r>
              <a:rPr lang="en-US" b="1" baseline="0"/>
              <a:t>T SALARY BY DEPARTMENT</a:t>
            </a:r>
            <a:endParaRPr lang="en-US" b="1"/>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'net salary by department'!$B$3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1836-4E16-8A25-C20DC809AE88}"/>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1836-4E16-8A25-C20DC809AE88}"/>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1836-4E16-8A25-C20DC809AE88}"/>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1836-4E16-8A25-C20DC809AE88}"/>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1836-4E16-8A25-C20DC809AE88}"/>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1836-4E16-8A25-C20DC809AE88}"/>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1836-4E16-8A25-C20DC809AE88}"/>
              </c:ext>
            </c:extLst>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1836-4E16-8A25-C20DC809AE8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'net salary by department'!$A$4:$A$12</c:f>
              <c:strCache>
                <c:ptCount val="8"/>
                <c:pt idx="0">
                  <c:v>ICT</c:v>
                </c:pt>
                <c:pt idx="1">
                  <c:v>HR</c:v>
                </c:pt>
                <c:pt idx="2">
                  <c:v>Account</c:v>
                </c:pt>
                <c:pt idx="3">
                  <c:v>Marketing</c:v>
                </c:pt>
                <c:pt idx="4">
                  <c:v>Sales</c:v>
                </c:pt>
                <c:pt idx="5">
                  <c:v>Security</c:v>
                </c:pt>
                <c:pt idx="6">
                  <c:v>Customer Service</c:v>
                </c:pt>
                <c:pt idx="7">
                  <c:v>Cleaning</c:v>
                </c:pt>
              </c:strCache>
            </c:strRef>
          </c:cat>
          <c:val>
            <c:numRef>
              <c:f>'net salary by department'!$B$4:$B$12</c:f>
              <c:numCache>
                <c:formatCode>#,##0.00\ [$₦-467]</c:formatCode>
                <c:ptCount val="8"/>
                <c:pt idx="0">
                  <c:v>4232000</c:v>
                </c:pt>
                <c:pt idx="1">
                  <c:v>2857750</c:v>
                </c:pt>
                <c:pt idx="2">
                  <c:v>2800250</c:v>
                </c:pt>
                <c:pt idx="3">
                  <c:v>2380500</c:v>
                </c:pt>
                <c:pt idx="4">
                  <c:v>2202250</c:v>
                </c:pt>
                <c:pt idx="5">
                  <c:v>2081500</c:v>
                </c:pt>
                <c:pt idx="6">
                  <c:v>1914750</c:v>
                </c:pt>
                <c:pt idx="7">
                  <c:v>1334000</c:v>
                </c:pt>
              </c:numCache>
            </c:numRef>
          </c:val>
          <c:extLst>
            <c:ext xmlns:c16="http://schemas.microsoft.com/office/drawing/2014/chart" uri="{C3380CC4-5D6E-409C-BE32-E72D297353CC}">
              <c16:uniqueId val="{00000000-8491-4E9A-A67B-495D764604B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[github-salary_sheduled_management_assignment.xlsx]AVERAGE BASIC SALARY BY YEARS O!PivotTable4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BASIC SALARY BY YEARS OF EMPLOYMENT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'AVERAGE BASIC SALARY BY YEARS O'!$B$3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'AVERAGE BASIC SALARY BY YEARS O'!$A$4:$A$14</c:f>
              <c:strCache>
                <c:ptCount val="10"/>
                <c:pt idx="0">
                  <c:v>2016</c:v>
                </c:pt>
                <c:pt idx="1">
                  <c:v>2022</c:v>
                </c:pt>
                <c:pt idx="2">
                  <c:v>2019</c:v>
                </c:pt>
                <c:pt idx="3">
                  <c:v>2020</c:v>
                </c:pt>
                <c:pt idx="4">
                  <c:v>2023</c:v>
                </c:pt>
                <c:pt idx="5">
                  <c:v>2018</c:v>
                </c:pt>
                <c:pt idx="6">
                  <c:v>2021</c:v>
                </c:pt>
                <c:pt idx="7">
                  <c:v>2017</c:v>
                </c:pt>
                <c:pt idx="8">
                  <c:v>2015</c:v>
                </c:pt>
                <c:pt idx="9">
                  <c:v>2024</c:v>
                </c:pt>
              </c:strCache>
            </c:strRef>
          </c:cat>
          <c:val>
            <c:numRef>
              <c:f>'AVERAGE BASIC SALARY BY YEARS O'!$B$4:$B$14</c:f>
              <c:numCache>
                <c:formatCode>[$₦-468]\ #,##0.00</c:formatCode>
                <c:ptCount val="10"/>
                <c:pt idx="0">
                  <c:v>406666.66666666669</c:v>
                </c:pt>
                <c:pt idx="1">
                  <c:v>378333.33333333331</c:v>
                </c:pt>
                <c:pt idx="2">
                  <c:v>361666.66666666669</c:v>
                </c:pt>
                <c:pt idx="3">
                  <c:v>359285.71428571426</c:v>
                </c:pt>
                <c:pt idx="4">
                  <c:v>353000</c:v>
                </c:pt>
                <c:pt idx="5">
                  <c:v>340000</c:v>
                </c:pt>
                <c:pt idx="6">
                  <c:v>320625</c:v>
                </c:pt>
                <c:pt idx="7">
                  <c:v>316000</c:v>
                </c:pt>
                <c:pt idx="8">
                  <c:v>307500</c:v>
                </c:pt>
                <c:pt idx="9">
                  <c:v>273333.33333333331</c:v>
                </c:pt>
              </c:numCache>
            </c:numRef>
          </c:val>
          <c:smooth val="0"/>
          <c:extLst>
            <c:ext xmlns:c16="http://schemas.microsoft.com/office/drawing/2014/chart" uri="{C3380CC4-5D6E-409C-BE32-E72D297353CC}">
              <c16:uniqueId val="{00000000-D9E2-426F-AFF1-B687E28548D1}"/>
            </c:ext>
          </c:extLst>
        </c:ser>
        <c:dLbls>
          <c:showLegendKey val="0"/>
          <c:showVal val="0"/>
          <c:showCatName val="0"/>
          <c:showSerName val="0"/>
          <c:showPercent val="0"/>
          <c:showBubbleSize val="0"/>
        </c:dLbls>
        <c:marker val="1"/>
        <c:smooth val="0"/>
        <c:axId val="12041552"/>
        <c:axId val="2001017408"/>
      </c:lineChart>
      <c:catAx>
        <c:axId val="12041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1017408"/>
        <c:crosses val="autoZero"/>
        <c:auto val="1"/>
        <c:lblAlgn val="ctr"/>
        <c:lblOffset val="100"/>
        <c:noMultiLvlLbl val="0"/>
      </c:catAx>
      <c:valAx>
        <c:axId val="2001017408"/>
        <c:scaling>
          <c:orientation val="minMax"/>
        </c:scaling>
        <c:delete val="0"/>
        <c:axPos val="l"/>
        <c:majorGridlines>
          <c:spPr>
            <a:ln w="9525" cap="flat" cmpd="sng" algn="ctr">
              <a:solidFill>
                <a:schemeClr val="tx1">
                  <a:lumMod val="15000"/>
                  <a:lumOff val="85000"/>
                </a:schemeClr>
              </a:solidFill>
              <a:round/>
            </a:ln>
            <a:effectLst/>
          </c:spPr>
        </c:majorGridlines>
        <c:numFmt formatCode="[$₦-468]\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41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[github-salary_sheduled_management_assignment.xlsx]LOAN DEDUCTION!PivotTable7</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a:t>
            </a:r>
            <a:r>
              <a:rPr lang="en-US" b="1" baseline="0"/>
              <a:t> INDIVIDUAL DEDUCTION BY DEPARTMENT</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'LOAN DEDUCTION'!$B$3</c:f>
              <c:strCache>
                <c:ptCount val="1"/>
                <c:pt idx="0">
                  <c:v>Sum of - Loan(1%)</c:v>
                </c:pt>
              </c:strCache>
            </c:strRef>
          </c:tx>
          <c:spPr>
            <a:solidFill>
              <a:schemeClr val="accent1"/>
            </a:solidFill>
            <a:ln>
              <a:noFill/>
            </a:ln>
            <a:effectLst/>
          </c:spPr>
          <c:invertIfNegative val="0"/>
          <c:cat>
            <c:strRef>
              <c:f>'LOAN DEDUCTION'!$A$4:$A$12</c:f>
              <c:strCache>
                <c:ptCount val="8"/>
                <c:pt idx="0">
                  <c:v>ICT</c:v>
                </c:pt>
                <c:pt idx="1">
                  <c:v>HR</c:v>
                </c:pt>
                <c:pt idx="2">
                  <c:v>Account</c:v>
                </c:pt>
                <c:pt idx="3">
                  <c:v>Marketing</c:v>
                </c:pt>
                <c:pt idx="4">
                  <c:v>Sales</c:v>
                </c:pt>
                <c:pt idx="5">
                  <c:v>Security</c:v>
                </c:pt>
                <c:pt idx="6">
                  <c:v>Customer Service</c:v>
                </c:pt>
                <c:pt idx="7">
                  <c:v>Cleaning</c:v>
                </c:pt>
              </c:strCache>
            </c:strRef>
          </c:cat>
          <c:val>
            <c:numRef>
              <c:f>'LOAN DEDUCTION'!$B$4:$B$12</c:f>
              <c:numCache>
                <c:formatCode>[$₦-468]\ #,##0.00</c:formatCode>
                <c:ptCount val="8"/>
                <c:pt idx="0">
                  <c:v>36800</c:v>
                </c:pt>
                <c:pt idx="1">
                  <c:v>24850</c:v>
                </c:pt>
                <c:pt idx="2">
                  <c:v>24350</c:v>
                </c:pt>
                <c:pt idx="3">
                  <c:v>20700</c:v>
                </c:pt>
                <c:pt idx="4">
                  <c:v>19150</c:v>
                </c:pt>
                <c:pt idx="5">
                  <c:v>18100</c:v>
                </c:pt>
                <c:pt idx="6">
                  <c:v>16650</c:v>
                </c:pt>
                <c:pt idx="7">
                  <c:v>11600</c:v>
                </c:pt>
              </c:numCache>
            </c:numRef>
          </c:val>
          <c:extLst>
            <c:ext xmlns:c16="http://schemas.microsoft.com/office/drawing/2014/chart" uri="{C3380CC4-5D6E-409C-BE32-E72D297353CC}">
              <c16:uniqueId val="{00000000-11E2-4572-8BB1-6DE8E9B892BC}"/>
            </c:ext>
          </c:extLst>
        </c:ser>
        <c:ser>
          <c:idx val="1"/>
          <c:order val="1"/>
          <c:tx>
            <c:strRef>
              <c:f>'LOAN DEDUCTION'!$C$3</c:f>
              <c:strCache>
                <c:ptCount val="1"/>
                <c:pt idx="0">
                  <c:v>Sum of - Tax(5%)</c:v>
                </c:pt>
              </c:strCache>
            </c:strRef>
          </c:tx>
          <c:spPr>
            <a:solidFill>
              <a:schemeClr val="accent2"/>
            </a:solidFill>
            <a:ln>
              <a:noFill/>
            </a:ln>
            <a:effectLst/>
          </c:spPr>
          <c:invertIfNegative val="0"/>
          <c:cat>
            <c:strRef>
              <c:f>'LOAN DEDUCTION'!$A$4:$A$12</c:f>
              <c:strCache>
                <c:ptCount val="8"/>
                <c:pt idx="0">
                  <c:v>ICT</c:v>
                </c:pt>
                <c:pt idx="1">
                  <c:v>HR</c:v>
                </c:pt>
                <c:pt idx="2">
                  <c:v>Account</c:v>
                </c:pt>
                <c:pt idx="3">
                  <c:v>Marketing</c:v>
                </c:pt>
                <c:pt idx="4">
                  <c:v>Sales</c:v>
                </c:pt>
                <c:pt idx="5">
                  <c:v>Security</c:v>
                </c:pt>
                <c:pt idx="6">
                  <c:v>Customer Service</c:v>
                </c:pt>
                <c:pt idx="7">
                  <c:v>Cleaning</c:v>
                </c:pt>
              </c:strCache>
            </c:strRef>
          </c:cat>
          <c:val>
            <c:numRef>
              <c:f>'LOAN DEDUCTION'!$C$4:$C$12</c:f>
              <c:numCache>
                <c:formatCode>[$₦-468]\ #,##0.00</c:formatCode>
                <c:ptCount val="8"/>
                <c:pt idx="0">
                  <c:v>184000</c:v>
                </c:pt>
                <c:pt idx="1">
                  <c:v>124250</c:v>
                </c:pt>
                <c:pt idx="2">
                  <c:v>121750</c:v>
                </c:pt>
                <c:pt idx="3">
                  <c:v>103500</c:v>
                </c:pt>
                <c:pt idx="4">
                  <c:v>95750</c:v>
                </c:pt>
                <c:pt idx="5">
                  <c:v>90500</c:v>
                </c:pt>
                <c:pt idx="6">
                  <c:v>83250</c:v>
                </c:pt>
                <c:pt idx="7">
                  <c:v>58000</c:v>
                </c:pt>
              </c:numCache>
            </c:numRef>
          </c:val>
          <c:extLst>
            <c:ext xmlns:c16="http://schemas.microsoft.com/office/drawing/2014/chart" uri="{C3380CC4-5D6E-409C-BE32-E72D297353CC}">
              <c16:uniqueId val="{00000001-11E2-4572-8BB1-6DE8E9B892BC}"/>
            </c:ext>
          </c:extLst>
        </c:ser>
        <c:ser>
          <c:idx val="2"/>
          <c:order val="2"/>
          <c:tx>
            <c:strRef>
              <c:f>'LOAN DEDUCTION'!$D$3</c:f>
              <c:strCache>
                <c:ptCount val="1"/>
                <c:pt idx="0">
                  <c:v>Sum of  - Health Insurance Premium(2%)</c:v>
                </c:pt>
              </c:strCache>
            </c:strRef>
          </c:tx>
          <c:spPr>
            <a:solidFill>
              <a:schemeClr val="accent3"/>
            </a:solidFill>
            <a:ln>
              <a:noFill/>
            </a:ln>
            <a:effectLst/>
          </c:spPr>
          <c:invertIfNegative val="0"/>
          <c:cat>
            <c:strRef>
              <c:f>'LOAN DEDUCTION'!$A$4:$A$12</c:f>
              <c:strCache>
                <c:ptCount val="8"/>
                <c:pt idx="0">
                  <c:v>ICT</c:v>
                </c:pt>
                <c:pt idx="1">
                  <c:v>HR</c:v>
                </c:pt>
                <c:pt idx="2">
                  <c:v>Account</c:v>
                </c:pt>
                <c:pt idx="3">
                  <c:v>Marketing</c:v>
                </c:pt>
                <c:pt idx="4">
                  <c:v>Sales</c:v>
                </c:pt>
                <c:pt idx="5">
                  <c:v>Security</c:v>
                </c:pt>
                <c:pt idx="6">
                  <c:v>Customer Service</c:v>
                </c:pt>
                <c:pt idx="7">
                  <c:v>Cleaning</c:v>
                </c:pt>
              </c:strCache>
            </c:strRef>
          </c:cat>
          <c:val>
            <c:numRef>
              <c:f>'LOAN DEDUCTION'!$D$4:$D$12</c:f>
              <c:numCache>
                <c:formatCode>[$₦-468]\ #,##0.00</c:formatCode>
                <c:ptCount val="8"/>
                <c:pt idx="0">
                  <c:v>73600</c:v>
                </c:pt>
                <c:pt idx="1">
                  <c:v>49700</c:v>
                </c:pt>
                <c:pt idx="2">
                  <c:v>48700</c:v>
                </c:pt>
                <c:pt idx="3">
                  <c:v>41400</c:v>
                </c:pt>
                <c:pt idx="4">
                  <c:v>38300</c:v>
                </c:pt>
                <c:pt idx="5">
                  <c:v>36200</c:v>
                </c:pt>
                <c:pt idx="6">
                  <c:v>33300</c:v>
                </c:pt>
                <c:pt idx="7">
                  <c:v>23200</c:v>
                </c:pt>
              </c:numCache>
            </c:numRef>
          </c:val>
          <c:extLst>
            <c:ext xmlns:c16="http://schemas.microsoft.com/office/drawing/2014/chart" uri="{C3380CC4-5D6E-409C-BE32-E72D297353CC}">
              <c16:uniqueId val="{00000002-11E2-4572-8BB1-6DE8E9B892BC}"/>
            </c:ext>
          </c:extLst>
        </c:ser>
        <c:ser>
          <c:idx val="3"/>
          <c:order val="3"/>
          <c:tx>
            <c:strRef>
              <c:f>'LOAN DEDUCTION'!$E$3</c:f>
              <c:strCache>
                <c:ptCount val="1"/>
                <c:pt idx="0">
                  <c:v>Sum of     - Retirement Plan(2%)</c:v>
                </c:pt>
              </c:strCache>
            </c:strRef>
          </c:tx>
          <c:spPr>
            <a:solidFill>
              <a:schemeClr val="accent4"/>
            </a:solidFill>
            <a:ln>
              <a:noFill/>
            </a:ln>
            <a:effectLst/>
          </c:spPr>
          <c:invertIfNegative val="0"/>
          <c:cat>
            <c:strRef>
              <c:f>'LOAN DEDUCTION'!$A$4:$A$12</c:f>
              <c:strCache>
                <c:ptCount val="8"/>
                <c:pt idx="0">
                  <c:v>ICT</c:v>
                </c:pt>
                <c:pt idx="1">
                  <c:v>HR</c:v>
                </c:pt>
                <c:pt idx="2">
                  <c:v>Account</c:v>
                </c:pt>
                <c:pt idx="3">
                  <c:v>Marketing</c:v>
                </c:pt>
                <c:pt idx="4">
                  <c:v>Sales</c:v>
                </c:pt>
                <c:pt idx="5">
                  <c:v>Security</c:v>
                </c:pt>
                <c:pt idx="6">
                  <c:v>Customer Service</c:v>
                </c:pt>
                <c:pt idx="7">
                  <c:v>Cleaning</c:v>
                </c:pt>
              </c:strCache>
            </c:strRef>
          </c:cat>
          <c:val>
            <c:numRef>
              <c:f>'LOAN DEDUCTION'!$E$4:$E$12</c:f>
              <c:numCache>
                <c:formatCode>[$₦-468]\ #,##0.00</c:formatCode>
                <c:ptCount val="8"/>
                <c:pt idx="0">
                  <c:v>73600</c:v>
                </c:pt>
                <c:pt idx="1">
                  <c:v>49700</c:v>
                </c:pt>
                <c:pt idx="2">
                  <c:v>48700</c:v>
                </c:pt>
                <c:pt idx="3">
                  <c:v>41400</c:v>
                </c:pt>
                <c:pt idx="4">
                  <c:v>38300</c:v>
                </c:pt>
                <c:pt idx="5">
                  <c:v>36200</c:v>
                </c:pt>
                <c:pt idx="6">
                  <c:v>33300</c:v>
                </c:pt>
                <c:pt idx="7">
                  <c:v>23200</c:v>
                </c:pt>
              </c:numCache>
            </c:numRef>
          </c:val>
          <c:extLst>
            <c:ext xmlns:c16="http://schemas.microsoft.com/office/drawing/2014/chart" uri="{C3380CC4-5D6E-409C-BE32-E72D297353CC}">
              <c16:uniqueId val="{00000003-11E2-4572-8BB1-6DE8E9B892BC}"/>
            </c:ext>
          </c:extLst>
        </c:ser>
        <c:dLbls>
          <c:showLegendKey val="0"/>
          <c:showVal val="0"/>
          <c:showCatName val="0"/>
          <c:showSerName val="0"/>
          <c:showPercent val="0"/>
          <c:showBubbleSize val="0"/>
        </c:dLbls>
        <c:gapWidth val="219"/>
        <c:overlap val="-27"/>
        <c:axId val="8069664"/>
        <c:axId val="104764960"/>
      </c:barChart>
      <c:catAx>
        <c:axId val="8069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4764960"/>
        <c:crosses val="autoZero"/>
        <c:auto val="1"/>
        <c:lblAlgn val="ctr"/>
        <c:lblOffset val="100"/>
        <c:noMultiLvlLbl val="0"/>
      </c:catAx>
      <c:valAx>
        <c:axId val="104764960"/>
        <c:scaling>
          <c:orientation val="minMax"/>
        </c:scaling>
        <c:delete val="0"/>
        <c:axPos val="l"/>
        <c:majorGridlines>
          <c:spPr>
            <a:ln w="9525" cap="flat" cmpd="sng" algn="ctr">
              <a:solidFill>
                <a:schemeClr val="tx1">
                  <a:lumMod val="15000"/>
                  <a:lumOff val="85000"/>
                </a:schemeClr>
              </a:solidFill>
              <a:round/>
            </a:ln>
            <a:effectLst/>
          </c:spPr>
        </c:majorGridlines>
        <c:numFmt formatCode="[$₦-468]\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069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[github-salary_sheduled_management_assignment.xlsx]BASIC AND NET SALARY BY DEPARTM!PivotTable8</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BASIC</a:t>
            </a:r>
            <a:r>
              <a:rPr lang="en-US" b="1" baseline="0"/>
              <a:t> AND NET SALARY BY DEPARTMENT</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'BASIC AND NET SALARY BY DEPARTM'!$B$3</c:f>
              <c:strCache>
                <c:ptCount val="1"/>
                <c:pt idx="0">
                  <c:v>Sum of Basic Salary</c:v>
                </c:pt>
              </c:strCache>
            </c:strRef>
          </c:tx>
          <c:spPr>
            <a:solidFill>
              <a:schemeClr val="accent1"/>
            </a:solidFill>
            <a:ln>
              <a:noFill/>
            </a:ln>
            <a:effectLst/>
          </c:spPr>
          <c:invertIfNegative val="0"/>
          <c:cat>
            <c:strRef>
              <c:f>'BASIC AND NET SALARY BY DEPARTM'!$A$4:$A$12</c:f>
              <c:strCache>
                <c:ptCount val="8"/>
                <c:pt idx="0">
                  <c:v>ICT</c:v>
                </c:pt>
                <c:pt idx="1">
                  <c:v>HR</c:v>
                </c:pt>
                <c:pt idx="2">
                  <c:v>Account</c:v>
                </c:pt>
                <c:pt idx="3">
                  <c:v>Marketing</c:v>
                </c:pt>
                <c:pt idx="4">
                  <c:v>Sales</c:v>
                </c:pt>
                <c:pt idx="5">
                  <c:v>Security</c:v>
                </c:pt>
                <c:pt idx="6">
                  <c:v>Customer Service</c:v>
                </c:pt>
                <c:pt idx="7">
                  <c:v>Cleaning</c:v>
                </c:pt>
              </c:strCache>
            </c:strRef>
          </c:cat>
          <c:val>
            <c:numRef>
              <c:f>'BASIC AND NET SALARY BY DEPARTM'!$B$4:$B$12</c:f>
              <c:numCache>
                <c:formatCode>[$₦-468]\ #,##0.00</c:formatCode>
                <c:ptCount val="8"/>
                <c:pt idx="0">
                  <c:v>3680000</c:v>
                </c:pt>
                <c:pt idx="1">
                  <c:v>2485000</c:v>
                </c:pt>
                <c:pt idx="2">
                  <c:v>2435000</c:v>
                </c:pt>
                <c:pt idx="3">
                  <c:v>2070000</c:v>
                </c:pt>
                <c:pt idx="4">
                  <c:v>1915000</c:v>
                </c:pt>
                <c:pt idx="5">
                  <c:v>1810000</c:v>
                </c:pt>
                <c:pt idx="6">
                  <c:v>1665000</c:v>
                </c:pt>
                <c:pt idx="7">
                  <c:v>1160000</c:v>
                </c:pt>
              </c:numCache>
            </c:numRef>
          </c:val>
          <c:extLst>
            <c:ext xmlns:c16="http://schemas.microsoft.com/office/drawing/2014/chart" uri="{C3380CC4-5D6E-409C-BE32-E72D297353CC}">
              <c16:uniqueId val="{00000000-35C5-47D4-931C-3E62A31A1192}"/>
            </c:ext>
          </c:extLst>
        </c:ser>
        <c:dLbls>
          <c:showLegendKey val="0"/>
          <c:showVal val="0"/>
          <c:showCatName val="0"/>
          <c:showSerName val="0"/>
          <c:showPercent val="0"/>
          <c:showBubbleSize val="0"/>
        </c:dLbls>
        <c:gapWidth val="219"/>
        <c:overlap val="-27"/>
        <c:axId val="42934832"/>
        <c:axId val="104766400"/>
      </c:barChart>
      <c:lineChart>
        <c:grouping val="standard"/>
        <c:varyColors val="0"/>
        <c:ser>
          <c:idx val="1"/>
          <c:order val="1"/>
          <c:tx>
            <c:strRef>
              <c:f>'BASIC AND NET SALARY BY DEPARTM'!$C$3</c:f>
              <c:strCache>
                <c:ptCount val="1"/>
                <c:pt idx="0">
                  <c:v>Sum of -NET SALARY </c:v>
                </c:pt>
              </c:strCache>
            </c:strRef>
          </c:tx>
          <c:spPr>
            <a:ln w="28575" cap="rnd">
              <a:solidFill>
                <a:schemeClr val="accent2"/>
              </a:solidFill>
              <a:round/>
            </a:ln>
            <a:effectLst/>
          </c:spPr>
          <c:marker>
            <c:symbol val="none"/>
          </c:marker>
          <c:cat>
            <c:strRef>
              <c:f>'BASIC AND NET SALARY BY DEPARTM'!$A$4:$A$12</c:f>
              <c:strCache>
                <c:ptCount val="8"/>
                <c:pt idx="0">
                  <c:v>ICT</c:v>
                </c:pt>
                <c:pt idx="1">
                  <c:v>HR</c:v>
                </c:pt>
                <c:pt idx="2">
                  <c:v>Account</c:v>
                </c:pt>
                <c:pt idx="3">
                  <c:v>Marketing</c:v>
                </c:pt>
                <c:pt idx="4">
                  <c:v>Sales</c:v>
                </c:pt>
                <c:pt idx="5">
                  <c:v>Security</c:v>
                </c:pt>
                <c:pt idx="6">
                  <c:v>Customer Service</c:v>
                </c:pt>
                <c:pt idx="7">
                  <c:v>Cleaning</c:v>
                </c:pt>
              </c:strCache>
            </c:strRef>
          </c:cat>
          <c:val>
            <c:numRef>
              <c:f>'BASIC AND NET SALARY BY DEPARTM'!$C$4:$C$12</c:f>
              <c:numCache>
                <c:formatCode>[$₦-468]\ #,##0.00;\-[$₦-468]\ #,##0.00</c:formatCode>
                <c:ptCount val="8"/>
                <c:pt idx="0">
                  <c:v>4232000</c:v>
                </c:pt>
                <c:pt idx="1">
                  <c:v>2857750</c:v>
                </c:pt>
                <c:pt idx="2">
                  <c:v>2800250</c:v>
                </c:pt>
                <c:pt idx="3">
                  <c:v>2380500</c:v>
                </c:pt>
                <c:pt idx="4">
                  <c:v>2202250</c:v>
                </c:pt>
                <c:pt idx="5">
                  <c:v>2081500</c:v>
                </c:pt>
                <c:pt idx="6">
                  <c:v>1914750</c:v>
                </c:pt>
                <c:pt idx="7">
                  <c:v>1334000</c:v>
                </c:pt>
              </c:numCache>
            </c:numRef>
          </c:val>
          <c:smooth val="0"/>
          <c:extLst>
            <c:ext xmlns:c16="http://schemas.microsoft.com/office/drawing/2014/chart" uri="{C3380CC4-5D6E-409C-BE32-E72D297353CC}">
              <c16:uniqueId val="{00000001-35C5-47D4-931C-3E62A31A1192}"/>
            </c:ext>
          </c:extLst>
        </c:ser>
        <c:dLbls>
          <c:showLegendKey val="0"/>
          <c:showVal val="0"/>
          <c:showCatName val="0"/>
          <c:showSerName val="0"/>
          <c:showPercent val="0"/>
          <c:showBubbleSize val="0"/>
        </c:dLbls>
        <c:marker val="1"/>
        <c:smooth val="0"/>
        <c:axId val="42934832"/>
        <c:axId val="104766400"/>
      </c:lineChart>
      <c:catAx>
        <c:axId val="42934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4766400"/>
        <c:crosses val="autoZero"/>
        <c:auto val="1"/>
        <c:lblAlgn val="ctr"/>
        <c:lblOffset val="100"/>
        <c:noMultiLvlLbl val="0"/>
      </c:catAx>
      <c:valAx>
        <c:axId val="104766400"/>
        <c:scaling>
          <c:orientation val="minMax"/>
        </c:scaling>
        <c:delete val="0"/>
        <c:axPos val="l"/>
        <c:majorGridlines>
          <c:spPr>
            <a:ln w="9525" cap="flat" cmpd="sng" algn="ctr">
              <a:solidFill>
                <a:schemeClr val="tx1">
                  <a:lumMod val="15000"/>
                  <a:lumOff val="85000"/>
                </a:schemeClr>
              </a:solidFill>
              <a:round/>
            </a:ln>
            <a:effectLst/>
          </c:spPr>
        </c:majorGridlines>
        <c:numFmt formatCode="[$₦-468]\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2934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[github-salary_sheduled_management_assignment.xlsx]Salary by gender!PivotTable1</c:name>
    <c:fmtId val="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Gender Salary Analysis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'Salary by gender'!$B$3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'Salary by gender'!$A$4:$A$6</c:f>
              <c:strCache>
                <c:ptCount val="2"/>
                <c:pt idx="0">
                  <c:v>Female</c:v>
                </c:pt>
                <c:pt idx="1">
                  <c:v>Male</c:v>
                </c:pt>
              </c:strCache>
            </c:strRef>
          </c:cat>
          <c:val>
            <c:numRef>
              <c:f>'Salary by gender'!$B$4:$B$6</c:f>
              <c:numCache>
                <c:formatCode>General</c:formatCode>
                <c:ptCount val="2"/>
                <c:pt idx="0">
                  <c:v>304400</c:v>
                </c:pt>
                <c:pt idx="1">
                  <c:v>384400</c:v>
                </c:pt>
              </c:numCache>
            </c:numRef>
          </c:val>
          <c:extLst>
            <c:ext xmlns:c16="http://schemas.microsoft.com/office/drawing/2014/chart" uri="{C3380CC4-5D6E-409C-BE32-E72D297353CC}">
              <c16:uniqueId val="{00000000-E6EF-4AB3-B78E-F60E12A482E0}"/>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[github-salary_sheduled_management_assignment.xlsx]basicsalarybydepartment!PivotTable2</c:name>
    <c:fmtId val="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Basic</a:t>
            </a:r>
            <a:r>
              <a:rPr lang="en-US" b="1" baseline="0"/>
              <a:t> salary by department</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basicsalarybydepartment!$B$3</c:f>
              <c:strCache>
                <c:ptCount val="1"/>
                <c:pt idx="0">
                  <c:v>Total</c:v>
                </c:pt>
              </c:strCache>
            </c:strRef>
          </c:tx>
          <c:spPr>
            <a:solidFill>
              <a:schemeClr val="accent1"/>
            </a:solidFill>
            <a:ln>
              <a:noFill/>
            </a:ln>
            <a:effectLst/>
            <a:sp3d/>
          </c:spPr>
          <c:invertIfNegative val="0"/>
          <c:cat>
            <c:strRef>
              <c:f>basicsalarybydepartment!$A$4:$A$12</c:f>
              <c:strCache>
                <c:ptCount val="8"/>
                <c:pt idx="0">
                  <c:v>ICT</c:v>
                </c:pt>
                <c:pt idx="1">
                  <c:v>HR</c:v>
                </c:pt>
                <c:pt idx="2">
                  <c:v>Account</c:v>
                </c:pt>
                <c:pt idx="3">
                  <c:v>Marketing</c:v>
                </c:pt>
                <c:pt idx="4">
                  <c:v>Sales</c:v>
                </c:pt>
                <c:pt idx="5">
                  <c:v>Security</c:v>
                </c:pt>
                <c:pt idx="6">
                  <c:v>Customer Service</c:v>
                </c:pt>
                <c:pt idx="7">
                  <c:v>Cleaning</c:v>
                </c:pt>
              </c:strCache>
            </c:strRef>
          </c:cat>
          <c:val>
            <c:numRef>
              <c:f>basicsalarybydepartment!$B$4:$B$12</c:f>
              <c:numCache>
                <c:formatCode>#,##0.00\ [$₦-467]</c:formatCode>
                <c:ptCount val="8"/>
                <c:pt idx="0">
                  <c:v>3680000</c:v>
                </c:pt>
                <c:pt idx="1">
                  <c:v>2485000</c:v>
                </c:pt>
                <c:pt idx="2">
                  <c:v>2435000</c:v>
                </c:pt>
                <c:pt idx="3">
                  <c:v>2070000</c:v>
                </c:pt>
                <c:pt idx="4">
                  <c:v>1915000</c:v>
                </c:pt>
                <c:pt idx="5">
                  <c:v>1810000</c:v>
                </c:pt>
                <c:pt idx="6">
                  <c:v>1665000</c:v>
                </c:pt>
                <c:pt idx="7">
                  <c:v>1160000</c:v>
                </c:pt>
              </c:numCache>
            </c:numRef>
          </c:val>
          <c:extLst>
            <c:ext xmlns:c16="http://schemas.microsoft.com/office/drawing/2014/chart" uri="{C3380CC4-5D6E-409C-BE32-E72D297353CC}">
              <c16:uniqueId val="{00000000-3A95-4F85-948F-BF49707911C0}"/>
            </c:ext>
          </c:extLst>
        </c:ser>
        <c:dLbls>
          <c:showLegendKey val="0"/>
          <c:showVal val="0"/>
          <c:showCatName val="0"/>
          <c:showSerName val="0"/>
          <c:showPercent val="0"/>
          <c:showBubbleSize val="0"/>
        </c:dLbls>
        <c:gapWidth val="219"/>
        <c:shape val="box"/>
        <c:axId val="1999075376"/>
        <c:axId val="2000983328"/>
        <c:axId val="0"/>
      </c:bar3DChart>
      <c:catAx>
        <c:axId val="1999075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0983328"/>
        <c:crosses val="autoZero"/>
        <c:auto val="1"/>
        <c:lblAlgn val="ctr"/>
        <c:lblOffset val="100"/>
        <c:noMultiLvlLbl val="0"/>
      </c:catAx>
      <c:valAx>
        <c:axId val="2000983328"/>
        <c:scaling>
          <c:orientation val="minMax"/>
        </c:scaling>
        <c:delete val="0"/>
        <c:axPos val="l"/>
        <c:majorGridlines>
          <c:spPr>
            <a:ln w="9525" cap="flat" cmpd="sng" algn="ctr">
              <a:solidFill>
                <a:schemeClr val="tx1">
                  <a:lumMod val="15000"/>
                  <a:lumOff val="85000"/>
                </a:schemeClr>
              </a:solidFill>
              <a:round/>
            </a:ln>
            <a:effectLst/>
          </c:spPr>
        </c:majorGridlines>
        <c:numFmt formatCode="#,##0.00\ [$₦-467]"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075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[github-salary_sheduled_management_assignment.xlsx]BASIC AND NET SALARY BY DEPARTM!PivotTable8</c:name>
    <c:fmtId val="1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BASIC</a:t>
            </a:r>
            <a:r>
              <a:rPr lang="en-US" b="1" baseline="0"/>
              <a:t> AND NET SALARY BY DEPARTMENT</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'BASIC AND NET SALARY BY DEPARTM'!$B$3</c:f>
              <c:strCache>
                <c:ptCount val="1"/>
                <c:pt idx="0">
                  <c:v>Sum of Basic Salary</c:v>
                </c:pt>
              </c:strCache>
            </c:strRef>
          </c:tx>
          <c:spPr>
            <a:solidFill>
              <a:schemeClr val="accent1"/>
            </a:solidFill>
            <a:ln>
              <a:noFill/>
            </a:ln>
            <a:effectLst/>
          </c:spPr>
          <c:invertIfNegative val="0"/>
          <c:cat>
            <c:strRef>
              <c:f>'BASIC AND NET SALARY BY DEPARTM'!$A$4:$A$12</c:f>
              <c:strCache>
                <c:ptCount val="8"/>
                <c:pt idx="0">
                  <c:v>ICT</c:v>
                </c:pt>
                <c:pt idx="1">
                  <c:v>HR</c:v>
                </c:pt>
                <c:pt idx="2">
                  <c:v>Account</c:v>
                </c:pt>
                <c:pt idx="3">
                  <c:v>Marketing</c:v>
                </c:pt>
                <c:pt idx="4">
                  <c:v>Sales</c:v>
                </c:pt>
                <c:pt idx="5">
                  <c:v>Security</c:v>
                </c:pt>
                <c:pt idx="6">
                  <c:v>Customer Service</c:v>
                </c:pt>
                <c:pt idx="7">
                  <c:v>Cleaning</c:v>
                </c:pt>
              </c:strCache>
            </c:strRef>
          </c:cat>
          <c:val>
            <c:numRef>
              <c:f>'BASIC AND NET SALARY BY DEPARTM'!$B$4:$B$12</c:f>
              <c:numCache>
                <c:formatCode>[$₦-468]\ #,##0.00</c:formatCode>
                <c:ptCount val="8"/>
                <c:pt idx="0">
                  <c:v>3680000</c:v>
                </c:pt>
                <c:pt idx="1">
                  <c:v>2485000</c:v>
                </c:pt>
                <c:pt idx="2">
                  <c:v>2435000</c:v>
                </c:pt>
                <c:pt idx="3">
                  <c:v>2070000</c:v>
                </c:pt>
                <c:pt idx="4">
                  <c:v>1915000</c:v>
                </c:pt>
                <c:pt idx="5">
                  <c:v>1810000</c:v>
                </c:pt>
                <c:pt idx="6">
                  <c:v>1665000</c:v>
                </c:pt>
                <c:pt idx="7">
                  <c:v>1160000</c:v>
                </c:pt>
              </c:numCache>
            </c:numRef>
          </c:val>
          <c:extLst>
            <c:ext xmlns:c16="http://schemas.microsoft.com/office/drawing/2014/chart" uri="{C3380CC4-5D6E-409C-BE32-E72D297353CC}">
              <c16:uniqueId val="{00000000-29E3-4973-8DE2-7DE0C16BA777}"/>
            </c:ext>
          </c:extLst>
        </c:ser>
        <c:dLbls>
          <c:showLegendKey val="0"/>
          <c:showVal val="0"/>
          <c:showCatName val="0"/>
          <c:showSerName val="0"/>
          <c:showPercent val="0"/>
          <c:showBubbleSize val="0"/>
        </c:dLbls>
        <c:gapWidth val="219"/>
        <c:overlap val="-27"/>
        <c:axId val="42934832"/>
        <c:axId val="104766400"/>
      </c:barChart>
      <c:lineChart>
        <c:grouping val="standard"/>
        <c:varyColors val="0"/>
        <c:ser>
          <c:idx val="1"/>
          <c:order val="1"/>
          <c:tx>
            <c:strRef>
              <c:f>'BASIC AND NET SALARY BY DEPARTM'!$C$3</c:f>
              <c:strCache>
                <c:ptCount val="1"/>
                <c:pt idx="0">
                  <c:v>Sum of -NET SALARY </c:v>
                </c:pt>
              </c:strCache>
            </c:strRef>
          </c:tx>
          <c:spPr>
            <a:ln w="28575" cap="rnd">
              <a:solidFill>
                <a:schemeClr val="accent2"/>
              </a:solidFill>
              <a:round/>
            </a:ln>
            <a:effectLst/>
          </c:spPr>
          <c:marker>
            <c:symbol val="none"/>
          </c:marker>
          <c:cat>
            <c:strRef>
              <c:f>'BASIC AND NET SALARY BY DEPARTM'!$A$4:$A$12</c:f>
              <c:strCache>
                <c:ptCount val="8"/>
                <c:pt idx="0">
                  <c:v>ICT</c:v>
                </c:pt>
                <c:pt idx="1">
                  <c:v>HR</c:v>
                </c:pt>
                <c:pt idx="2">
                  <c:v>Account</c:v>
                </c:pt>
                <c:pt idx="3">
                  <c:v>Marketing</c:v>
                </c:pt>
                <c:pt idx="4">
                  <c:v>Sales</c:v>
                </c:pt>
                <c:pt idx="5">
                  <c:v>Security</c:v>
                </c:pt>
                <c:pt idx="6">
                  <c:v>Customer Service</c:v>
                </c:pt>
                <c:pt idx="7">
                  <c:v>Cleaning</c:v>
                </c:pt>
              </c:strCache>
            </c:strRef>
          </c:cat>
          <c:val>
            <c:numRef>
              <c:f>'BASIC AND NET SALARY BY DEPARTM'!$C$4:$C$12</c:f>
              <c:numCache>
                <c:formatCode>[$₦-468]\ #,##0.00;\-[$₦-468]\ #,##0.00</c:formatCode>
                <c:ptCount val="8"/>
                <c:pt idx="0">
                  <c:v>4232000</c:v>
                </c:pt>
                <c:pt idx="1">
                  <c:v>2857750</c:v>
                </c:pt>
                <c:pt idx="2">
                  <c:v>2800250</c:v>
                </c:pt>
                <c:pt idx="3">
                  <c:v>2380500</c:v>
                </c:pt>
                <c:pt idx="4">
                  <c:v>2202250</c:v>
                </c:pt>
                <c:pt idx="5">
                  <c:v>2081500</c:v>
                </c:pt>
                <c:pt idx="6">
                  <c:v>1914750</c:v>
                </c:pt>
                <c:pt idx="7">
                  <c:v>1334000</c:v>
                </c:pt>
              </c:numCache>
            </c:numRef>
          </c:val>
          <c:smooth val="0"/>
          <c:extLst>
            <c:ext xmlns:c16="http://schemas.microsoft.com/office/drawing/2014/chart" uri="{C3380CC4-5D6E-409C-BE32-E72D297353CC}">
              <c16:uniqueId val="{00000001-29E3-4973-8DE2-7DE0C16BA777}"/>
            </c:ext>
          </c:extLst>
        </c:ser>
        <c:dLbls>
          <c:showLegendKey val="0"/>
          <c:showVal val="0"/>
          <c:showCatName val="0"/>
          <c:showSerName val="0"/>
          <c:showPercent val="0"/>
          <c:showBubbleSize val="0"/>
        </c:dLbls>
        <c:marker val="1"/>
        <c:smooth val="0"/>
        <c:axId val="42934832"/>
        <c:axId val="104766400"/>
      </c:lineChart>
      <c:catAx>
        <c:axId val="42934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4766400"/>
        <c:crosses val="autoZero"/>
        <c:auto val="1"/>
        <c:lblAlgn val="ctr"/>
        <c:lblOffset val="100"/>
        <c:noMultiLvlLbl val="0"/>
      </c:catAx>
      <c:valAx>
        <c:axId val="104766400"/>
        <c:scaling>
          <c:orientation val="minMax"/>
        </c:scaling>
        <c:delete val="0"/>
        <c:axPos val="l"/>
        <c:majorGridlines>
          <c:spPr>
            <a:ln w="9525" cap="flat" cmpd="sng" algn="ctr">
              <a:solidFill>
                <a:schemeClr val="tx1">
                  <a:lumMod val="15000"/>
                  <a:lumOff val="85000"/>
                </a:schemeClr>
              </a:solidFill>
              <a:round/>
            </a:ln>
            <a:effectLst/>
          </c:spPr>
        </c:majorGridlines>
        <c:numFmt formatCode="[$₦-468]\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2934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[github-salary_sheduled_management_assignment.xlsx]LOAN DEDUCTION!PivotTable7</c:name>
    <c:fmtId val="1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a:t>
            </a:r>
            <a:r>
              <a:rPr lang="en-US" b="1" baseline="0"/>
              <a:t> INDIVIDUAL DEDUCTION BY DEPARTMENT</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'LOAN DEDUCTION'!$B$3</c:f>
              <c:strCache>
                <c:ptCount val="1"/>
                <c:pt idx="0">
                  <c:v>Sum of - Loan(1%)</c:v>
                </c:pt>
              </c:strCache>
            </c:strRef>
          </c:tx>
          <c:spPr>
            <a:solidFill>
              <a:schemeClr val="accent1"/>
            </a:solidFill>
            <a:ln>
              <a:noFill/>
            </a:ln>
            <a:effectLst/>
          </c:spPr>
          <c:invertIfNegative val="0"/>
          <c:cat>
            <c:strRef>
              <c:f>'LOAN DEDUCTION'!$A$4:$A$12</c:f>
              <c:strCache>
                <c:ptCount val="8"/>
                <c:pt idx="0">
                  <c:v>ICT</c:v>
                </c:pt>
                <c:pt idx="1">
                  <c:v>HR</c:v>
                </c:pt>
                <c:pt idx="2">
                  <c:v>Account</c:v>
                </c:pt>
                <c:pt idx="3">
                  <c:v>Marketing</c:v>
                </c:pt>
                <c:pt idx="4">
                  <c:v>Sales</c:v>
                </c:pt>
                <c:pt idx="5">
                  <c:v>Security</c:v>
                </c:pt>
                <c:pt idx="6">
                  <c:v>Customer Service</c:v>
                </c:pt>
                <c:pt idx="7">
                  <c:v>Cleaning</c:v>
                </c:pt>
              </c:strCache>
            </c:strRef>
          </c:cat>
          <c:val>
            <c:numRef>
              <c:f>'LOAN DEDUCTION'!$B$4:$B$12</c:f>
              <c:numCache>
                <c:formatCode>[$₦-468]\ #,##0.00</c:formatCode>
                <c:ptCount val="8"/>
                <c:pt idx="0">
                  <c:v>36800</c:v>
                </c:pt>
                <c:pt idx="1">
                  <c:v>24850</c:v>
                </c:pt>
                <c:pt idx="2">
                  <c:v>24350</c:v>
                </c:pt>
                <c:pt idx="3">
                  <c:v>20700</c:v>
                </c:pt>
                <c:pt idx="4">
                  <c:v>19150</c:v>
                </c:pt>
                <c:pt idx="5">
                  <c:v>18100</c:v>
                </c:pt>
                <c:pt idx="6">
                  <c:v>16650</c:v>
                </c:pt>
                <c:pt idx="7">
                  <c:v>11600</c:v>
                </c:pt>
              </c:numCache>
            </c:numRef>
          </c:val>
          <c:extLst>
            <c:ext xmlns:c16="http://schemas.microsoft.com/office/drawing/2014/chart" uri="{C3380CC4-5D6E-409C-BE32-E72D297353CC}">
              <c16:uniqueId val="{00000000-4AAE-411D-869F-75DB70356366}"/>
            </c:ext>
          </c:extLst>
        </c:ser>
        <c:ser>
          <c:idx val="1"/>
          <c:order val="1"/>
          <c:tx>
            <c:strRef>
              <c:f>'LOAN DEDUCTION'!$C$3</c:f>
              <c:strCache>
                <c:ptCount val="1"/>
                <c:pt idx="0">
                  <c:v>Sum of - Tax(5%)</c:v>
                </c:pt>
              </c:strCache>
            </c:strRef>
          </c:tx>
          <c:spPr>
            <a:solidFill>
              <a:schemeClr val="accent2"/>
            </a:solidFill>
            <a:ln>
              <a:noFill/>
            </a:ln>
            <a:effectLst/>
          </c:spPr>
          <c:invertIfNegative val="0"/>
          <c:cat>
            <c:strRef>
              <c:f>'LOAN DEDUCTION'!$A$4:$A$12</c:f>
              <c:strCache>
                <c:ptCount val="8"/>
                <c:pt idx="0">
                  <c:v>ICT</c:v>
                </c:pt>
                <c:pt idx="1">
                  <c:v>HR</c:v>
                </c:pt>
                <c:pt idx="2">
                  <c:v>Account</c:v>
                </c:pt>
                <c:pt idx="3">
                  <c:v>Marketing</c:v>
                </c:pt>
                <c:pt idx="4">
                  <c:v>Sales</c:v>
                </c:pt>
                <c:pt idx="5">
                  <c:v>Security</c:v>
                </c:pt>
                <c:pt idx="6">
                  <c:v>Customer Service</c:v>
                </c:pt>
                <c:pt idx="7">
                  <c:v>Cleaning</c:v>
                </c:pt>
              </c:strCache>
            </c:strRef>
          </c:cat>
          <c:val>
            <c:numRef>
              <c:f>'LOAN DEDUCTION'!$C$4:$C$12</c:f>
              <c:numCache>
                <c:formatCode>[$₦-468]\ #,##0.00</c:formatCode>
                <c:ptCount val="8"/>
                <c:pt idx="0">
                  <c:v>184000</c:v>
                </c:pt>
                <c:pt idx="1">
                  <c:v>124250</c:v>
                </c:pt>
                <c:pt idx="2">
                  <c:v>121750</c:v>
                </c:pt>
                <c:pt idx="3">
                  <c:v>103500</c:v>
                </c:pt>
                <c:pt idx="4">
                  <c:v>95750</c:v>
                </c:pt>
                <c:pt idx="5">
                  <c:v>90500</c:v>
                </c:pt>
                <c:pt idx="6">
                  <c:v>83250</c:v>
                </c:pt>
                <c:pt idx="7">
                  <c:v>58000</c:v>
                </c:pt>
              </c:numCache>
            </c:numRef>
          </c:val>
          <c:extLst>
            <c:ext xmlns:c16="http://schemas.microsoft.com/office/drawing/2014/chart" uri="{C3380CC4-5D6E-409C-BE32-E72D297353CC}">
              <c16:uniqueId val="{00000001-4AAE-411D-869F-75DB70356366}"/>
            </c:ext>
          </c:extLst>
        </c:ser>
        <c:ser>
          <c:idx val="2"/>
          <c:order val="2"/>
          <c:tx>
            <c:strRef>
              <c:f>'LOAN DEDUCTION'!$D$3</c:f>
              <c:strCache>
                <c:ptCount val="1"/>
                <c:pt idx="0">
                  <c:v>Sum of  - Health Insurance Premium(2%)</c:v>
                </c:pt>
              </c:strCache>
            </c:strRef>
          </c:tx>
          <c:spPr>
            <a:solidFill>
              <a:schemeClr val="accent3"/>
            </a:solidFill>
            <a:ln>
              <a:noFill/>
            </a:ln>
            <a:effectLst/>
          </c:spPr>
          <c:invertIfNegative val="0"/>
          <c:cat>
            <c:strRef>
              <c:f>'LOAN DEDUCTION'!$A$4:$A$12</c:f>
              <c:strCache>
                <c:ptCount val="8"/>
                <c:pt idx="0">
                  <c:v>ICT</c:v>
                </c:pt>
                <c:pt idx="1">
                  <c:v>HR</c:v>
                </c:pt>
                <c:pt idx="2">
                  <c:v>Account</c:v>
                </c:pt>
                <c:pt idx="3">
                  <c:v>Marketing</c:v>
                </c:pt>
                <c:pt idx="4">
                  <c:v>Sales</c:v>
                </c:pt>
                <c:pt idx="5">
                  <c:v>Security</c:v>
                </c:pt>
                <c:pt idx="6">
                  <c:v>Customer Service</c:v>
                </c:pt>
                <c:pt idx="7">
                  <c:v>Cleaning</c:v>
                </c:pt>
              </c:strCache>
            </c:strRef>
          </c:cat>
          <c:val>
            <c:numRef>
              <c:f>'LOAN DEDUCTION'!$D$4:$D$12</c:f>
              <c:numCache>
                <c:formatCode>[$₦-468]\ #,##0.00</c:formatCode>
                <c:ptCount val="8"/>
                <c:pt idx="0">
                  <c:v>73600</c:v>
                </c:pt>
                <c:pt idx="1">
                  <c:v>49700</c:v>
                </c:pt>
                <c:pt idx="2">
                  <c:v>48700</c:v>
                </c:pt>
                <c:pt idx="3">
                  <c:v>41400</c:v>
                </c:pt>
                <c:pt idx="4">
                  <c:v>38300</c:v>
                </c:pt>
                <c:pt idx="5">
                  <c:v>36200</c:v>
                </c:pt>
                <c:pt idx="6">
                  <c:v>33300</c:v>
                </c:pt>
                <c:pt idx="7">
                  <c:v>23200</c:v>
                </c:pt>
              </c:numCache>
            </c:numRef>
          </c:val>
          <c:extLst>
            <c:ext xmlns:c16="http://schemas.microsoft.com/office/drawing/2014/chart" uri="{C3380CC4-5D6E-409C-BE32-E72D297353CC}">
              <c16:uniqueId val="{00000002-4AAE-411D-869F-75DB70356366}"/>
            </c:ext>
          </c:extLst>
        </c:ser>
        <c:ser>
          <c:idx val="3"/>
          <c:order val="3"/>
          <c:tx>
            <c:strRef>
              <c:f>'LOAN DEDUCTION'!$E$3</c:f>
              <c:strCache>
                <c:ptCount val="1"/>
                <c:pt idx="0">
                  <c:v>Sum of     - Retirement Plan(2%)</c:v>
                </c:pt>
              </c:strCache>
            </c:strRef>
          </c:tx>
          <c:spPr>
            <a:solidFill>
              <a:schemeClr val="accent4"/>
            </a:solidFill>
            <a:ln>
              <a:noFill/>
            </a:ln>
            <a:effectLst/>
          </c:spPr>
          <c:invertIfNegative val="0"/>
          <c:cat>
            <c:strRef>
              <c:f>'LOAN DEDUCTION'!$A$4:$A$12</c:f>
              <c:strCache>
                <c:ptCount val="8"/>
                <c:pt idx="0">
                  <c:v>ICT</c:v>
                </c:pt>
                <c:pt idx="1">
                  <c:v>HR</c:v>
                </c:pt>
                <c:pt idx="2">
                  <c:v>Account</c:v>
                </c:pt>
                <c:pt idx="3">
                  <c:v>Marketing</c:v>
                </c:pt>
                <c:pt idx="4">
                  <c:v>Sales</c:v>
                </c:pt>
                <c:pt idx="5">
                  <c:v>Security</c:v>
                </c:pt>
                <c:pt idx="6">
                  <c:v>Customer Service</c:v>
                </c:pt>
                <c:pt idx="7">
                  <c:v>Cleaning</c:v>
                </c:pt>
              </c:strCache>
            </c:strRef>
          </c:cat>
          <c:val>
            <c:numRef>
              <c:f>'LOAN DEDUCTION'!$E$4:$E$12</c:f>
              <c:numCache>
                <c:formatCode>[$₦-468]\ #,##0.00</c:formatCode>
                <c:ptCount val="8"/>
                <c:pt idx="0">
                  <c:v>73600</c:v>
                </c:pt>
                <c:pt idx="1">
                  <c:v>49700</c:v>
                </c:pt>
                <c:pt idx="2">
                  <c:v>48700</c:v>
                </c:pt>
                <c:pt idx="3">
                  <c:v>41400</c:v>
                </c:pt>
                <c:pt idx="4">
                  <c:v>38300</c:v>
                </c:pt>
                <c:pt idx="5">
                  <c:v>36200</c:v>
                </c:pt>
                <c:pt idx="6">
                  <c:v>33300</c:v>
                </c:pt>
                <c:pt idx="7">
                  <c:v>23200</c:v>
                </c:pt>
              </c:numCache>
            </c:numRef>
          </c:val>
          <c:extLst>
            <c:ext xmlns:c16="http://schemas.microsoft.com/office/drawing/2014/chart" uri="{C3380CC4-5D6E-409C-BE32-E72D297353CC}">
              <c16:uniqueId val="{00000003-4AAE-411D-869F-75DB70356366}"/>
            </c:ext>
          </c:extLst>
        </c:ser>
        <c:dLbls>
          <c:showLegendKey val="0"/>
          <c:showVal val="0"/>
          <c:showCatName val="0"/>
          <c:showSerName val="0"/>
          <c:showPercent val="0"/>
          <c:showBubbleSize val="0"/>
        </c:dLbls>
        <c:gapWidth val="219"/>
        <c:overlap val="-27"/>
        <c:axId val="8069664"/>
        <c:axId val="104764960"/>
      </c:barChart>
      <c:catAx>
        <c:axId val="8069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4764960"/>
        <c:crosses val="autoZero"/>
        <c:auto val="1"/>
        <c:lblAlgn val="ctr"/>
        <c:lblOffset val="100"/>
        <c:noMultiLvlLbl val="0"/>
      </c:catAx>
      <c:valAx>
        <c:axId val="104764960"/>
        <c:scaling>
          <c:orientation val="minMax"/>
        </c:scaling>
        <c:delete val="0"/>
        <c:axPos val="l"/>
        <c:majorGridlines>
          <c:spPr>
            <a:ln w="9525" cap="flat" cmpd="sng" algn="ctr">
              <a:solidFill>
                <a:schemeClr val="tx1">
                  <a:lumMod val="15000"/>
                  <a:lumOff val="85000"/>
                </a:schemeClr>
              </a:solidFill>
              <a:round/>
            </a:ln>
            <a:effectLst/>
          </c:spPr>
        </c:majorGridlines>
        <c:numFmt formatCode="[$₦-468]\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069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[github-salary_sheduled_management_assignment.xlsx]AVERAGE BASIC SALARY BY YEARS O!PivotTable4</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BASIC SALARY BY YEARS OF EMPLOYMENT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'AVERAGE BASIC SALARY BY YEARS O'!$B$3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'AVERAGE BASIC SALARY BY YEARS O'!$A$4:$A$14</c:f>
              <c:strCache>
                <c:ptCount val="10"/>
                <c:pt idx="0">
                  <c:v>2016</c:v>
                </c:pt>
                <c:pt idx="1">
                  <c:v>2022</c:v>
                </c:pt>
                <c:pt idx="2">
                  <c:v>2019</c:v>
                </c:pt>
                <c:pt idx="3">
                  <c:v>2020</c:v>
                </c:pt>
                <c:pt idx="4">
                  <c:v>2023</c:v>
                </c:pt>
                <c:pt idx="5">
                  <c:v>2018</c:v>
                </c:pt>
                <c:pt idx="6">
                  <c:v>2021</c:v>
                </c:pt>
                <c:pt idx="7">
                  <c:v>2017</c:v>
                </c:pt>
                <c:pt idx="8">
                  <c:v>2015</c:v>
                </c:pt>
                <c:pt idx="9">
                  <c:v>2024</c:v>
                </c:pt>
              </c:strCache>
            </c:strRef>
          </c:cat>
          <c:val>
            <c:numRef>
              <c:f>'AVERAGE BASIC SALARY BY YEARS O'!$B$4:$B$14</c:f>
              <c:numCache>
                <c:formatCode>[$₦-468]\ #,##0.00</c:formatCode>
                <c:ptCount val="10"/>
                <c:pt idx="0">
                  <c:v>406666.66666666669</c:v>
                </c:pt>
                <c:pt idx="1">
                  <c:v>378333.33333333331</c:v>
                </c:pt>
                <c:pt idx="2">
                  <c:v>361666.66666666669</c:v>
                </c:pt>
                <c:pt idx="3">
                  <c:v>359285.71428571426</c:v>
                </c:pt>
                <c:pt idx="4">
                  <c:v>353000</c:v>
                </c:pt>
                <c:pt idx="5">
                  <c:v>340000</c:v>
                </c:pt>
                <c:pt idx="6">
                  <c:v>320625</c:v>
                </c:pt>
                <c:pt idx="7">
                  <c:v>316000</c:v>
                </c:pt>
                <c:pt idx="8">
                  <c:v>307500</c:v>
                </c:pt>
                <c:pt idx="9">
                  <c:v>273333.33333333331</c:v>
                </c:pt>
              </c:numCache>
            </c:numRef>
          </c:val>
          <c:smooth val="0"/>
          <c:extLst>
            <c:ext xmlns:c16="http://schemas.microsoft.com/office/drawing/2014/chart" uri="{C3380CC4-5D6E-409C-BE32-E72D297353CC}">
              <c16:uniqueId val="{00000000-08CF-46ED-B9B1-014194A16FE4}"/>
            </c:ext>
          </c:extLst>
        </c:ser>
        <c:dLbls>
          <c:showLegendKey val="0"/>
          <c:showVal val="0"/>
          <c:showCatName val="0"/>
          <c:showSerName val="0"/>
          <c:showPercent val="0"/>
          <c:showBubbleSize val="0"/>
        </c:dLbls>
        <c:marker val="1"/>
        <c:smooth val="0"/>
        <c:axId val="12041552"/>
        <c:axId val="2001017408"/>
      </c:lineChart>
      <c:catAx>
        <c:axId val="12041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1017408"/>
        <c:crosses val="autoZero"/>
        <c:auto val="1"/>
        <c:lblAlgn val="ctr"/>
        <c:lblOffset val="100"/>
        <c:noMultiLvlLbl val="0"/>
      </c:catAx>
      <c:valAx>
        <c:axId val="2001017408"/>
        <c:scaling>
          <c:orientation val="minMax"/>
        </c:scaling>
        <c:delete val="0"/>
        <c:axPos val="l"/>
        <c:majorGridlines>
          <c:spPr>
            <a:ln w="9525" cap="flat" cmpd="sng" algn="ctr">
              <a:solidFill>
                <a:schemeClr val="tx1">
                  <a:lumMod val="15000"/>
                  <a:lumOff val="85000"/>
                </a:schemeClr>
              </a:solidFill>
              <a:round/>
            </a:ln>
            <a:effectLst/>
          </c:spPr>
        </c:majorGridlines>
        <c:numFmt formatCode="[$₦-468]\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41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[github-salary_sheduled_management_assignment.xlsx]net salary by department!PivotTable3</c:name>
    <c:fmtId val="12"/>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b="1"/>
              <a:t>Ne</a:t>
            </a:r>
            <a:r>
              <a:rPr lang="en-US" b="1" baseline="0"/>
              <a:t>T SALARY BY DEPARTMENT</a:t>
            </a:r>
            <a:endParaRPr lang="en-US" b="1"/>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'net salary by department'!$B$3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5AE1-4FC3-BCAE-C233AAA0B031}"/>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AE1-4FC3-BCAE-C233AAA0B031}"/>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5AE1-4FC3-BCAE-C233AAA0B031}"/>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5AE1-4FC3-BCAE-C233AAA0B031}"/>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5AE1-4FC3-BCAE-C233AAA0B031}"/>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5AE1-4FC3-BCAE-C233AAA0B031}"/>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5AE1-4FC3-BCAE-C233AAA0B031}"/>
              </c:ext>
            </c:extLst>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5AE1-4FC3-BCAE-C233AAA0B03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'net salary by department'!$A$4:$A$12</c:f>
              <c:strCache>
                <c:ptCount val="8"/>
                <c:pt idx="0">
                  <c:v>ICT</c:v>
                </c:pt>
                <c:pt idx="1">
                  <c:v>HR</c:v>
                </c:pt>
                <c:pt idx="2">
                  <c:v>Account</c:v>
                </c:pt>
                <c:pt idx="3">
                  <c:v>Marketing</c:v>
                </c:pt>
                <c:pt idx="4">
                  <c:v>Sales</c:v>
                </c:pt>
                <c:pt idx="5">
                  <c:v>Security</c:v>
                </c:pt>
                <c:pt idx="6">
                  <c:v>Customer Service</c:v>
                </c:pt>
                <c:pt idx="7">
                  <c:v>Cleaning</c:v>
                </c:pt>
              </c:strCache>
            </c:strRef>
          </c:cat>
          <c:val>
            <c:numRef>
              <c:f>'net salary by department'!$B$4:$B$12</c:f>
              <c:numCache>
                <c:formatCode>#,##0.00\ [$₦-467]</c:formatCode>
                <c:ptCount val="8"/>
                <c:pt idx="0">
                  <c:v>4232000</c:v>
                </c:pt>
                <c:pt idx="1">
                  <c:v>2857750</c:v>
                </c:pt>
                <c:pt idx="2">
                  <c:v>2800250</c:v>
                </c:pt>
                <c:pt idx="3">
                  <c:v>2380500</c:v>
                </c:pt>
                <c:pt idx="4">
                  <c:v>2202250</c:v>
                </c:pt>
                <c:pt idx="5">
                  <c:v>2081500</c:v>
                </c:pt>
                <c:pt idx="6">
                  <c:v>1914750</c:v>
                </c:pt>
                <c:pt idx="7">
                  <c:v>1334000</c:v>
                </c:pt>
              </c:numCache>
            </c:numRef>
          </c:val>
          <c:extLst>
            <c:ext xmlns:c16="http://schemas.microsoft.com/office/drawing/2014/chart" uri="{C3380CC4-5D6E-409C-BE32-E72D297353CC}">
              <c16:uniqueId val="{00000010-5AE1-4FC3-BCAE-C233AAA0B031}"/>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281940</xdr:colOff>
      <xdr:row>5</xdr:row>
      <xdr:rowOff>80010</xdr:rowOff>
    </xdr:from>
    <xdr:to>
      <xdr:col>10</xdr:col>
      <xdr:colOff>586740</xdr:colOff>
      <xdr:row>20</xdr:row>
      <xdr:rowOff>80010</xdr:rowOff>
    </xdr:to>
    <xdr:graphicFrame macro="">
      <xdr:nvGraphicFramePr>
        <xdr:cNvPr id="2" name="Chart 1">
          <a:extLst>
            <a:ext uri="{FF2B5EF4-FFF2-40B4-BE49-F238E27FC236}">
              <a16:creationId xmlns:a16="http://schemas.microsoft.com/office/drawing/2014/main" id="{A66C12BD-4856-66E0-798A-5050866FE4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175260</xdr:colOff>
      <xdr:row>5</xdr:row>
      <xdr:rowOff>80010</xdr:rowOff>
    </xdr:from>
    <xdr:to>
      <xdr:col>10</xdr:col>
      <xdr:colOff>480060</xdr:colOff>
      <xdr:row>20</xdr:row>
      <xdr:rowOff>80010</xdr:rowOff>
    </xdr:to>
    <xdr:graphicFrame macro="">
      <xdr:nvGraphicFramePr>
        <xdr:cNvPr id="2" name="Chart 1">
          <a:extLst>
            <a:ext uri="{FF2B5EF4-FFF2-40B4-BE49-F238E27FC236}">
              <a16:creationId xmlns:a16="http://schemas.microsoft.com/office/drawing/2014/main" id="{AD9247AC-7ED2-01A8-62E7-8FC87DE414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251460</xdr:colOff>
      <xdr:row>5</xdr:row>
      <xdr:rowOff>80010</xdr:rowOff>
    </xdr:from>
    <xdr:to>
      <xdr:col>10</xdr:col>
      <xdr:colOff>556260</xdr:colOff>
      <xdr:row>20</xdr:row>
      <xdr:rowOff>80010</xdr:rowOff>
    </xdr:to>
    <xdr:graphicFrame macro="">
      <xdr:nvGraphicFramePr>
        <xdr:cNvPr id="2" name="Chart 1">
          <a:extLst>
            <a:ext uri="{FF2B5EF4-FFF2-40B4-BE49-F238E27FC236}">
              <a16:creationId xmlns:a16="http://schemas.microsoft.com/office/drawing/2014/main" id="{AC447A5E-7A76-B359-728C-901EFCB5FB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266700</xdr:colOff>
      <xdr:row>8</xdr:row>
      <xdr:rowOff>87630</xdr:rowOff>
    </xdr:from>
    <xdr:to>
      <xdr:col>8</xdr:col>
      <xdr:colOff>205740</xdr:colOff>
      <xdr:row>23</xdr:row>
      <xdr:rowOff>87630</xdr:rowOff>
    </xdr:to>
    <xdr:graphicFrame macro="">
      <xdr:nvGraphicFramePr>
        <xdr:cNvPr id="2" name="Chart 1">
          <a:extLst>
            <a:ext uri="{FF2B5EF4-FFF2-40B4-BE49-F238E27FC236}">
              <a16:creationId xmlns:a16="http://schemas.microsoft.com/office/drawing/2014/main" id="{491ECB87-CC82-76D6-7DCF-2DA2106306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160020</xdr:colOff>
      <xdr:row>0</xdr:row>
      <xdr:rowOff>19050</xdr:rowOff>
    </xdr:from>
    <xdr:to>
      <xdr:col>19</xdr:col>
      <xdr:colOff>7620</xdr:colOff>
      <xdr:row>23</xdr:row>
      <xdr:rowOff>106680</xdr:rowOff>
    </xdr:to>
    <xdr:graphicFrame macro="">
      <xdr:nvGraphicFramePr>
        <xdr:cNvPr id="2" name="Chart 1">
          <a:extLst>
            <a:ext uri="{FF2B5EF4-FFF2-40B4-BE49-F238E27FC236}">
              <a16:creationId xmlns:a16="http://schemas.microsoft.com/office/drawing/2014/main" id="{CE50CF6A-09A8-F2FC-BD7B-1EA66E7667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251460</xdr:colOff>
      <xdr:row>5</xdr:row>
      <xdr:rowOff>83820</xdr:rowOff>
    </xdr:from>
    <xdr:to>
      <xdr:col>10</xdr:col>
      <xdr:colOff>556260</xdr:colOff>
      <xdr:row>20</xdr:row>
      <xdr:rowOff>83820</xdr:rowOff>
    </xdr:to>
    <xdr:graphicFrame macro="">
      <xdr:nvGraphicFramePr>
        <xdr:cNvPr id="2" name="Chart 1">
          <a:extLst>
            <a:ext uri="{FF2B5EF4-FFF2-40B4-BE49-F238E27FC236}">
              <a16:creationId xmlns:a16="http://schemas.microsoft.com/office/drawing/2014/main" id="{5E2F2D9F-3B6A-59C2-0FD5-9AF34B5CA6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22860</xdr:colOff>
      <xdr:row>4</xdr:row>
      <xdr:rowOff>0</xdr:rowOff>
    </xdr:from>
    <xdr:to>
      <xdr:col>4</xdr:col>
      <xdr:colOff>7620</xdr:colOff>
      <xdr:row>5</xdr:row>
      <xdr:rowOff>175260</xdr:rowOff>
    </xdr:to>
    <xdr:sp macro="" textlink="">
      <xdr:nvSpPr>
        <xdr:cNvPr id="2" name="Rectangle: Rounded Corners 1">
          <a:extLst>
            <a:ext uri="{FF2B5EF4-FFF2-40B4-BE49-F238E27FC236}">
              <a16:creationId xmlns:a16="http://schemas.microsoft.com/office/drawing/2014/main" id="{9D967F04-0634-4875-BE34-6C412837E686}"/>
            </a:ext>
          </a:extLst>
        </xdr:cNvPr>
        <xdr:cNvSpPr/>
      </xdr:nvSpPr>
      <xdr:spPr>
        <a:xfrm>
          <a:off x="632460" y="731520"/>
          <a:ext cx="2141220" cy="358140"/>
        </a:xfrm>
        <a:prstGeom prst="roundRect">
          <a:avLst/>
        </a:prstGeom>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bg1"/>
              </a:solidFill>
            </a:rPr>
            <a:t>Total</a:t>
          </a:r>
          <a:r>
            <a:rPr lang="en-US" sz="1600" b="1" baseline="0">
              <a:solidFill>
                <a:schemeClr val="bg1"/>
              </a:solidFill>
            </a:rPr>
            <a:t> Deduction</a:t>
          </a:r>
          <a:endParaRPr lang="en-US" sz="1600" b="1">
            <a:solidFill>
              <a:schemeClr val="bg1"/>
            </a:solidFill>
          </a:endParaRPr>
        </a:p>
      </xdr:txBody>
    </xdr:sp>
    <xdr:clientData/>
  </xdr:twoCellAnchor>
  <xdr:twoCellAnchor>
    <xdr:from>
      <xdr:col>5</xdr:col>
      <xdr:colOff>30480</xdr:colOff>
      <xdr:row>3</xdr:row>
      <xdr:rowOff>175260</xdr:rowOff>
    </xdr:from>
    <xdr:to>
      <xdr:col>9</xdr:col>
      <xdr:colOff>0</xdr:colOff>
      <xdr:row>5</xdr:row>
      <xdr:rowOff>167640</xdr:rowOff>
    </xdr:to>
    <xdr:sp macro="" textlink="">
      <xdr:nvSpPr>
        <xdr:cNvPr id="3" name="Rectangle: Rounded Corners 2">
          <a:extLst>
            <a:ext uri="{FF2B5EF4-FFF2-40B4-BE49-F238E27FC236}">
              <a16:creationId xmlns:a16="http://schemas.microsoft.com/office/drawing/2014/main" id="{FC636BC1-EC63-441D-90EE-326BEDC58AF2}"/>
            </a:ext>
          </a:extLst>
        </xdr:cNvPr>
        <xdr:cNvSpPr/>
      </xdr:nvSpPr>
      <xdr:spPr>
        <a:xfrm>
          <a:off x="3406140" y="723900"/>
          <a:ext cx="2407920" cy="358140"/>
        </a:xfrm>
        <a:prstGeom prst="roundRect">
          <a:avLst/>
        </a:prstGeom>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bg1"/>
              </a:solidFill>
            </a:rPr>
            <a:t>Total</a:t>
          </a:r>
          <a:r>
            <a:rPr lang="en-US" sz="1600" b="1" baseline="0">
              <a:solidFill>
                <a:schemeClr val="bg1"/>
              </a:solidFill>
            </a:rPr>
            <a:t> Gross Payroll</a:t>
          </a:r>
          <a:endParaRPr lang="en-US" sz="1600" b="1">
            <a:solidFill>
              <a:schemeClr val="bg1"/>
            </a:solidFill>
          </a:endParaRPr>
        </a:p>
      </xdr:txBody>
    </xdr:sp>
    <xdr:clientData/>
  </xdr:twoCellAnchor>
  <xdr:twoCellAnchor>
    <xdr:from>
      <xdr:col>10</xdr:col>
      <xdr:colOff>22860</xdr:colOff>
      <xdr:row>4</xdr:row>
      <xdr:rowOff>15240</xdr:rowOff>
    </xdr:from>
    <xdr:to>
      <xdr:col>13</xdr:col>
      <xdr:colOff>579120</xdr:colOff>
      <xdr:row>6</xdr:row>
      <xdr:rowOff>7620</xdr:rowOff>
    </xdr:to>
    <xdr:sp macro="" textlink="">
      <xdr:nvSpPr>
        <xdr:cNvPr id="4" name="Rectangle: Rounded Corners 3">
          <a:extLst>
            <a:ext uri="{FF2B5EF4-FFF2-40B4-BE49-F238E27FC236}">
              <a16:creationId xmlns:a16="http://schemas.microsoft.com/office/drawing/2014/main" id="{F4A428D7-D638-43E2-90CE-C7510A122C85}"/>
            </a:ext>
          </a:extLst>
        </xdr:cNvPr>
        <xdr:cNvSpPr/>
      </xdr:nvSpPr>
      <xdr:spPr>
        <a:xfrm>
          <a:off x="6446520" y="746760"/>
          <a:ext cx="2385060" cy="358140"/>
        </a:xfrm>
        <a:prstGeom prst="roundRect">
          <a:avLst/>
        </a:prstGeom>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bg1"/>
              </a:solidFill>
            </a:rPr>
            <a:t>Total</a:t>
          </a:r>
          <a:r>
            <a:rPr lang="en-US" sz="1600" b="1" baseline="0">
              <a:solidFill>
                <a:schemeClr val="bg1"/>
              </a:solidFill>
            </a:rPr>
            <a:t> Net Pay</a:t>
          </a:r>
          <a:endParaRPr lang="en-US" sz="1600" b="1">
            <a:solidFill>
              <a:schemeClr val="bg1"/>
            </a:solidFill>
          </a:endParaRPr>
        </a:p>
      </xdr:txBody>
    </xdr:sp>
    <xdr:clientData/>
  </xdr:twoCellAnchor>
  <xdr:twoCellAnchor>
    <xdr:from>
      <xdr:col>14</xdr:col>
      <xdr:colOff>601980</xdr:colOff>
      <xdr:row>4</xdr:row>
      <xdr:rowOff>15240</xdr:rowOff>
    </xdr:from>
    <xdr:to>
      <xdr:col>19</xdr:col>
      <xdr:colOff>7620</xdr:colOff>
      <xdr:row>6</xdr:row>
      <xdr:rowOff>7620</xdr:rowOff>
    </xdr:to>
    <xdr:sp macro="" textlink="">
      <xdr:nvSpPr>
        <xdr:cNvPr id="5" name="Rectangle: Rounded Corners 4">
          <a:extLst>
            <a:ext uri="{FF2B5EF4-FFF2-40B4-BE49-F238E27FC236}">
              <a16:creationId xmlns:a16="http://schemas.microsoft.com/office/drawing/2014/main" id="{7DC51A1A-ACCB-449B-9883-540F4DEC44D0}"/>
            </a:ext>
          </a:extLst>
        </xdr:cNvPr>
        <xdr:cNvSpPr/>
      </xdr:nvSpPr>
      <xdr:spPr>
        <a:xfrm>
          <a:off x="9464040" y="746760"/>
          <a:ext cx="2453640" cy="358140"/>
        </a:xfrm>
        <a:prstGeom prst="roundRect">
          <a:avLst/>
        </a:prstGeom>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bg1"/>
              </a:solidFill>
            </a:rPr>
            <a:t>Avg</a:t>
          </a:r>
          <a:r>
            <a:rPr lang="en-US" sz="1600" b="1" baseline="0">
              <a:solidFill>
                <a:schemeClr val="bg1"/>
              </a:solidFill>
            </a:rPr>
            <a:t> Basic Salary</a:t>
          </a:r>
          <a:endParaRPr lang="en-US" sz="1600" b="1">
            <a:solidFill>
              <a:schemeClr val="bg1"/>
            </a:solidFill>
          </a:endParaRPr>
        </a:p>
      </xdr:txBody>
    </xdr:sp>
    <xdr:clientData/>
  </xdr:twoCellAnchor>
  <xdr:twoCellAnchor>
    <xdr:from>
      <xdr:col>20</xdr:col>
      <xdr:colOff>7620</xdr:colOff>
      <xdr:row>3</xdr:row>
      <xdr:rowOff>167640</xdr:rowOff>
    </xdr:from>
    <xdr:to>
      <xdr:col>22</xdr:col>
      <xdr:colOff>594360</xdr:colOff>
      <xdr:row>5</xdr:row>
      <xdr:rowOff>160020</xdr:rowOff>
    </xdr:to>
    <xdr:sp macro="" textlink="">
      <xdr:nvSpPr>
        <xdr:cNvPr id="6" name="Rectangle: Rounded Corners 5">
          <a:extLst>
            <a:ext uri="{FF2B5EF4-FFF2-40B4-BE49-F238E27FC236}">
              <a16:creationId xmlns:a16="http://schemas.microsoft.com/office/drawing/2014/main" id="{4A1EC397-8BCF-4AE0-A114-A9379BFBC982}"/>
            </a:ext>
          </a:extLst>
        </xdr:cNvPr>
        <xdr:cNvSpPr/>
      </xdr:nvSpPr>
      <xdr:spPr>
        <a:xfrm>
          <a:off x="12527280" y="716280"/>
          <a:ext cx="1805940" cy="358140"/>
        </a:xfrm>
        <a:prstGeom prst="roundRect">
          <a:avLst/>
        </a:prstGeom>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bg1"/>
              </a:solidFill>
            </a:rPr>
            <a:t>Total</a:t>
          </a:r>
          <a:r>
            <a:rPr lang="en-US" sz="1600" b="1" baseline="0">
              <a:solidFill>
                <a:schemeClr val="bg1"/>
              </a:solidFill>
            </a:rPr>
            <a:t> Employee</a:t>
          </a:r>
          <a:endParaRPr lang="en-US" sz="1600" b="1">
            <a:solidFill>
              <a:schemeClr val="bg1"/>
            </a:solidFill>
          </a:endParaRPr>
        </a:p>
      </xdr:txBody>
    </xdr:sp>
    <xdr:clientData/>
  </xdr:twoCellAnchor>
  <xdr:twoCellAnchor>
    <xdr:from>
      <xdr:col>4</xdr:col>
      <xdr:colOff>22860</xdr:colOff>
      <xdr:row>22</xdr:row>
      <xdr:rowOff>68580</xdr:rowOff>
    </xdr:from>
    <xdr:to>
      <xdr:col>22</xdr:col>
      <xdr:colOff>68580</xdr:colOff>
      <xdr:row>37</xdr:row>
      <xdr:rowOff>68580</xdr:rowOff>
    </xdr:to>
    <xdr:graphicFrame macro="">
      <xdr:nvGraphicFramePr>
        <xdr:cNvPr id="7" name="Chart 6">
          <a:extLst>
            <a:ext uri="{FF2B5EF4-FFF2-40B4-BE49-F238E27FC236}">
              <a16:creationId xmlns:a16="http://schemas.microsoft.com/office/drawing/2014/main" id="{ECA81B53-E138-4404-A49E-EB9B60043C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53340</xdr:colOff>
      <xdr:row>8</xdr:row>
      <xdr:rowOff>76200</xdr:rowOff>
    </xdr:from>
    <xdr:to>
      <xdr:col>12</xdr:col>
      <xdr:colOff>228600</xdr:colOff>
      <xdr:row>22</xdr:row>
      <xdr:rowOff>15240</xdr:rowOff>
    </xdr:to>
    <xdr:graphicFrame macro="">
      <xdr:nvGraphicFramePr>
        <xdr:cNvPr id="8" name="Chart 7">
          <a:extLst>
            <a:ext uri="{FF2B5EF4-FFF2-40B4-BE49-F238E27FC236}">
              <a16:creationId xmlns:a16="http://schemas.microsoft.com/office/drawing/2014/main" id="{47ACC331-7D4F-4B16-9482-0BDDEDA323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373380</xdr:colOff>
      <xdr:row>8</xdr:row>
      <xdr:rowOff>45720</xdr:rowOff>
    </xdr:from>
    <xdr:to>
      <xdr:col>21</xdr:col>
      <xdr:colOff>289560</xdr:colOff>
      <xdr:row>22</xdr:row>
      <xdr:rowOff>15240</xdr:rowOff>
    </xdr:to>
    <xdr:graphicFrame macro="">
      <xdr:nvGraphicFramePr>
        <xdr:cNvPr id="9" name="Chart 8">
          <a:extLst>
            <a:ext uri="{FF2B5EF4-FFF2-40B4-BE49-F238E27FC236}">
              <a16:creationId xmlns:a16="http://schemas.microsoft.com/office/drawing/2014/main" id="{7461CFE5-A17E-4926-B0A3-C7EA1D0F81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15240</xdr:colOff>
      <xdr:row>39</xdr:row>
      <xdr:rowOff>76200</xdr:rowOff>
    </xdr:from>
    <xdr:to>
      <xdr:col>14</xdr:col>
      <xdr:colOff>312420</xdr:colOff>
      <xdr:row>54</xdr:row>
      <xdr:rowOff>76200</xdr:rowOff>
    </xdr:to>
    <xdr:graphicFrame macro="">
      <xdr:nvGraphicFramePr>
        <xdr:cNvPr id="10" name="Chart 9">
          <a:extLst>
            <a:ext uri="{FF2B5EF4-FFF2-40B4-BE49-F238E27FC236}">
              <a16:creationId xmlns:a16="http://schemas.microsoft.com/office/drawing/2014/main" id="{C0771785-0669-4362-A5C3-7E62AC7165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487680</xdr:colOff>
      <xdr:row>39</xdr:row>
      <xdr:rowOff>68580</xdr:rowOff>
    </xdr:from>
    <xdr:to>
      <xdr:col>25</xdr:col>
      <xdr:colOff>137160</xdr:colOff>
      <xdr:row>54</xdr:row>
      <xdr:rowOff>68580</xdr:rowOff>
    </xdr:to>
    <xdr:graphicFrame macro="">
      <xdr:nvGraphicFramePr>
        <xdr:cNvPr id="11" name="Chart 10">
          <a:extLst>
            <a:ext uri="{FF2B5EF4-FFF2-40B4-BE49-F238E27FC236}">
              <a16:creationId xmlns:a16="http://schemas.microsoft.com/office/drawing/2014/main" id="{0856B82D-79E1-484E-9C1A-410AB0D97B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190235</xdr:colOff>
      <xdr:row>0</xdr:row>
      <xdr:rowOff>7620</xdr:rowOff>
    </xdr:from>
    <xdr:to>
      <xdr:col>28</xdr:col>
      <xdr:colOff>114301</xdr:colOff>
      <xdr:row>3</xdr:row>
      <xdr:rowOff>68580</xdr:rowOff>
    </xdr:to>
    <xdr:sp macro="" textlink="">
      <xdr:nvSpPr>
        <xdr:cNvPr id="12" name="Rectangle: Rounded Corners 11">
          <a:extLst>
            <a:ext uri="{FF2B5EF4-FFF2-40B4-BE49-F238E27FC236}">
              <a16:creationId xmlns:a16="http://schemas.microsoft.com/office/drawing/2014/main" id="{35AB55F4-855F-469A-AAA6-4A8664AC6D6A}"/>
            </a:ext>
          </a:extLst>
        </xdr:cNvPr>
        <xdr:cNvSpPr/>
      </xdr:nvSpPr>
      <xdr:spPr>
        <a:xfrm>
          <a:off x="190235" y="7620"/>
          <a:ext cx="17320526" cy="609600"/>
        </a:xfrm>
        <a:prstGeom prst="roundRect">
          <a:avLst/>
        </a:prstGeom>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bg1"/>
              </a:solidFill>
            </a:rPr>
            <a:t>Employee</a:t>
          </a:r>
          <a:r>
            <a:rPr lang="en-US" sz="2400" b="1" baseline="0">
              <a:solidFill>
                <a:schemeClr val="bg1"/>
              </a:solidFill>
            </a:rPr>
            <a:t> Payroll Analytic Dashboard</a:t>
          </a:r>
          <a:endParaRPr lang="en-US" sz="2400" b="1">
            <a:solidFill>
              <a:schemeClr val="bg1"/>
            </a:solidFill>
          </a:endParaRPr>
        </a:p>
      </xdr:txBody>
    </xdr:sp>
    <xdr:clientData/>
  </xdr:twoCellAnchor>
  <xdr:twoCellAnchor editAs="oneCell">
    <xdr:from>
      <xdr:col>1</xdr:col>
      <xdr:colOff>160020</xdr:colOff>
      <xdr:row>8</xdr:row>
      <xdr:rowOff>60960</xdr:rowOff>
    </xdr:from>
    <xdr:to>
      <xdr:col>3</xdr:col>
      <xdr:colOff>769620</xdr:colOff>
      <xdr:row>21</xdr:row>
      <xdr:rowOff>150495</xdr:rowOff>
    </xdr:to>
    <mc:AlternateContent xmlns:mc="http://schemas.openxmlformats.org/markup-compatibility/2006" xmlns:a14="http://schemas.microsoft.com/office/drawing/2010/main">
      <mc:Choice Requires="a14">
        <xdr:graphicFrame macro="">
          <xdr:nvGraphicFramePr>
            <xdr:cNvPr id="13" name="Department 1">
              <a:extLst>
                <a:ext uri="{FF2B5EF4-FFF2-40B4-BE49-F238E27FC236}">
                  <a16:creationId xmlns:a16="http://schemas.microsoft.com/office/drawing/2014/main" id="{3AF5140C-43D8-409A-94BE-B3CDDA9AE3F9}"/>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769620" y="15240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129540</xdr:colOff>
      <xdr:row>22</xdr:row>
      <xdr:rowOff>0</xdr:rowOff>
    </xdr:from>
    <xdr:to>
      <xdr:col>3</xdr:col>
      <xdr:colOff>739140</xdr:colOff>
      <xdr:row>26</xdr:row>
      <xdr:rowOff>114300</xdr:rowOff>
    </xdr:to>
    <mc:AlternateContent xmlns:mc="http://schemas.openxmlformats.org/markup-compatibility/2006" xmlns:a14="http://schemas.microsoft.com/office/drawing/2010/main">
      <mc:Choice Requires="a14">
        <xdr:graphicFrame macro="">
          <xdr:nvGraphicFramePr>
            <xdr:cNvPr id="14" name="Gender 1">
              <a:extLst>
                <a:ext uri="{FF2B5EF4-FFF2-40B4-BE49-F238E27FC236}">
                  <a16:creationId xmlns:a16="http://schemas.microsoft.com/office/drawing/2014/main" id="{3AF6ADE6-2989-443F-B8E9-407EB351C42D}"/>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739140" y="4023360"/>
              <a:ext cx="1828800" cy="8458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190500</xdr:colOff>
      <xdr:row>40</xdr:row>
      <xdr:rowOff>99060</xdr:rowOff>
    </xdr:from>
    <xdr:to>
      <xdr:col>3</xdr:col>
      <xdr:colOff>800100</xdr:colOff>
      <xdr:row>54</xdr:row>
      <xdr:rowOff>5715</xdr:rowOff>
    </xdr:to>
    <mc:AlternateContent xmlns:mc="http://schemas.openxmlformats.org/markup-compatibility/2006" xmlns:a14="http://schemas.microsoft.com/office/drawing/2010/main">
      <mc:Choice Requires="a14">
        <xdr:graphicFrame macro="">
          <xdr:nvGraphicFramePr>
            <xdr:cNvPr id="15" name="State 1">
              <a:extLst>
                <a:ext uri="{FF2B5EF4-FFF2-40B4-BE49-F238E27FC236}">
                  <a16:creationId xmlns:a16="http://schemas.microsoft.com/office/drawing/2014/main" id="{CA773A11-6651-43C1-8F7F-C899E324EB32}"/>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800100" y="74142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152400</xdr:colOff>
      <xdr:row>26</xdr:row>
      <xdr:rowOff>114300</xdr:rowOff>
    </xdr:from>
    <xdr:to>
      <xdr:col>3</xdr:col>
      <xdr:colOff>762000</xdr:colOff>
      <xdr:row>40</xdr:row>
      <xdr:rowOff>20955</xdr:rowOff>
    </xdr:to>
    <mc:AlternateContent xmlns:mc="http://schemas.openxmlformats.org/markup-compatibility/2006" xmlns:a14="http://schemas.microsoft.com/office/drawing/2010/main">
      <mc:Choice Requires="a14">
        <xdr:graphicFrame macro="">
          <xdr:nvGraphicFramePr>
            <xdr:cNvPr id="16" name="Years (Hire Date) 1">
              <a:extLst>
                <a:ext uri="{FF2B5EF4-FFF2-40B4-BE49-F238E27FC236}">
                  <a16:creationId xmlns:a16="http://schemas.microsoft.com/office/drawing/2014/main" id="{2C391330-4516-4D25-9BB2-84A95236C6E1}"/>
                </a:ext>
              </a:extLst>
            </xdr:cNvPr>
            <xdr:cNvGraphicFramePr/>
          </xdr:nvGraphicFramePr>
          <xdr:xfrm>
            <a:off x="0" y="0"/>
            <a:ext cx="0" cy="0"/>
          </xdr:xfrm>
          <a:graphic>
            <a:graphicData uri="http://schemas.microsoft.com/office/drawing/2010/slicer">
              <sle:slicer xmlns:sle="http://schemas.microsoft.com/office/drawing/2010/slicer" name="Years (Hire Date) 1"/>
            </a:graphicData>
          </a:graphic>
        </xdr:graphicFrame>
      </mc:Choice>
      <mc:Fallback xmlns="">
        <xdr:sp macro="" textlink="">
          <xdr:nvSpPr>
            <xdr:cNvPr id="0" name=""/>
            <xdr:cNvSpPr>
              <a:spLocks noTextEdit="1"/>
            </xdr:cNvSpPr>
          </xdr:nvSpPr>
          <xdr:spPr>
            <a:xfrm>
              <a:off x="762000" y="48691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69.595431481481" createdVersion="8" refreshedVersion="8" minRefreshableVersion="3" recordCount="50" xr:uid="{3D8E6C8E-0A44-4197-A954-3114147B97C9}">
  <cacheSource type="worksheet">
    <worksheetSource name="salarydata"/>
  </cacheSource>
  <cacheFields count="27">
    <cacheField name="Employee ID" numFmtId="0">
      <sharedItems/>
    </cacheField>
    <cacheField name="First Name" numFmtId="0">
      <sharedItems/>
    </cacheField>
    <cacheField name="Last Name" numFmtId="0">
      <sharedItems/>
    </cacheField>
    <cacheField name="Department" numFmtId="0">
      <sharedItems count="8">
        <s v="ICT"/>
        <s v="HR"/>
        <s v="Security"/>
        <s v="Account"/>
        <s v="Sales"/>
        <s v="Customer Service"/>
        <s v="Marketing"/>
        <s v="Cleaning"/>
      </sharedItems>
    </cacheField>
    <cacheField name="Gender" numFmtId="0">
      <sharedItems count="2">
        <s v="Male"/>
        <s v="Female"/>
      </sharedItems>
    </cacheField>
    <cacheField name="Age" numFmtId="0">
      <sharedItems containsSemiMixedTypes="0" containsString="0" containsNumber="1" containsInteger="1" minValue="26" maxValue="46"/>
    </cacheField>
    <cacheField name="State" numFmtId="0">
      <sharedItems count="16">
        <s v="Lagos"/>
        <s v="Anambra"/>
        <s v="Kaduna"/>
        <s v="Ogun"/>
        <s v="Enugu"/>
        <s v="Imo"/>
        <s v="Kano"/>
        <s v="Oyo"/>
        <s v="Abuja"/>
        <s v="Rivers"/>
        <s v="Delta"/>
        <s v="Abia"/>
        <s v="Kwara"/>
        <s v="Akwa Ibom"/>
        <s v="Edo"/>
        <s v="Plateau"/>
      </sharedItems>
    </cacheField>
    <cacheField name="Hire Date" numFmtId="14">
      <sharedItems containsSemiMixedTypes="0" containsNonDate="0" containsDate="1" containsString="0" minDate="2015-06-19T00:00:00" maxDate="2024-06-17T00:00:00" count="50">
        <d v="2021-03-15T00:00:00"/>
        <d v="2019-10-08T00:00:00"/>
        <d v="2018-01-22T00:00:00"/>
        <d v="2022-05-06T00:00:00"/>
        <d v="2023-11-14T00:00:00"/>
        <d v="2024-03-02T00:00:00"/>
        <d v="2020-09-18T00:00:00"/>
        <d v="2017-07-04T00:00:00"/>
        <d v="2020-12-01T00:00:00"/>
        <d v="2021-07-25T00:00:00"/>
        <d v="2016-05-16T00:00:00"/>
        <d v="2022-10-20T00:00:00"/>
        <d v="2021-11-03T00:00:00"/>
        <d v="2022-08-12T00:00:00"/>
        <d v="2015-06-19T00:00:00"/>
        <d v="2019-08-13T00:00:00"/>
        <d v="2019-04-02T00:00:00"/>
        <d v="2017-09-17T00:00:00"/>
        <d v="2023-01-21T00:00:00"/>
        <d v="2020-09-05T00:00:00"/>
        <d v="2021-10-15T00:00:00"/>
        <d v="2024-06-03T00:00:00"/>
        <d v="2018-12-07T00:00:00"/>
        <d v="2016-02-23T00:00:00"/>
        <d v="2022-08-14T00:00:00"/>
        <d v="2019-11-30T00:00:00"/>
        <d v="2023-04-18T00:00:00"/>
        <d v="2021-09-01T00:00:00"/>
        <d v="2024-06-16T00:00:00"/>
        <d v="2018-05-10T00:00:00"/>
        <d v="2020-11-02T00:00:00"/>
        <d v="2021-09-22T00:00:00"/>
        <d v="2016-05-17T00:00:00"/>
        <d v="2023-03-03T00:00:00"/>
        <d v="2019-07-14T00:00:00"/>
        <d v="2017-01-25T00:00:00"/>
        <d v="2020-10-06T00:00:00"/>
        <d v="2022-08-19T00:00:00"/>
        <d v="2015-07-04T00:00:00"/>
        <d v="2018-12-15T00:00:00"/>
        <d v="2021-02-05T00:00:00"/>
        <d v="2017-09-21T00:00:00"/>
        <d v="2022-12-01T00:00:00"/>
        <d v="2023-08-06T00:00:00"/>
        <d v="2019-02-16T00:00:00"/>
        <d v="2020-10-24T00:00:00"/>
        <d v="2017-03-13T00:00:00"/>
        <d v="2021-06-07T00:00:00"/>
        <d v="2018-11-18T00:00:00"/>
        <d v="2020-04-27T00:00:00"/>
      </sharedItems>
      <fieldGroup par="26"/>
    </cacheField>
    <cacheField name="Phone Number" numFmtId="0">
      <sharedItems containsSemiMixedTypes="0" containsString="0" containsNumber="1" containsInteger="1" minValue="8000000001" maxValue="8000000050"/>
    </cacheField>
    <cacheField name="Basic Salary" numFmtId="0">
      <sharedItems containsSemiMixedTypes="0" containsString="0" containsNumber="1" containsInteger="1" minValue="180000" maxValue="600000"/>
    </cacheField>
    <cacheField name="Account Number" numFmtId="0">
      <sharedItems containsSemiMixedTypes="0" containsString="0" containsNumber="1" containsInteger="1" minValue="1" maxValue="50"/>
    </cacheField>
    <cacheField name="Bank Name" numFmtId="0">
      <sharedItems/>
    </cacheField>
    <cacheField name=" -Performance Bonus (1%)" numFmtId="0">
      <sharedItems containsSemiMixedTypes="0" containsString="0" containsNumber="1" containsInteger="1" minValue="1800" maxValue="6000"/>
    </cacheField>
    <cacheField name="- House Allowance (15%)" numFmtId="0">
      <sharedItems containsSemiMixedTypes="0" containsString="0" containsNumber="1" containsInteger="1" minValue="27000" maxValue="90000"/>
    </cacheField>
    <cacheField name="- Transport Allowance (5%)" numFmtId="0">
      <sharedItems containsSemiMixedTypes="0" containsString="0" containsNumber="1" containsInteger="1" minValue="9000" maxValue="30000"/>
    </cacheField>
    <cacheField name="- wordrope Allowance (2%)" numFmtId="0">
      <sharedItems containsSemiMixedTypes="0" containsString="0" containsNumber="1" containsInteger="1" minValue="3600" maxValue="12000"/>
    </cacheField>
    <cacheField name="- Over Time(2%)" numFmtId="0">
      <sharedItems containsSemiMixedTypes="0" containsString="0" containsNumber="1" containsInteger="1" minValue="3600" maxValue="12000"/>
    </cacheField>
    <cacheField name="- Gross Salary" numFmtId="0">
      <sharedItems containsSemiMixedTypes="0" containsString="0" containsNumber="1" containsInteger="1" minValue="225000" maxValue="750000"/>
    </cacheField>
    <cacheField name="- Loan(1%)" numFmtId="0">
      <sharedItems containsSemiMixedTypes="0" containsString="0" containsNumber="1" containsInteger="1" minValue="1800" maxValue="6000"/>
    </cacheField>
    <cacheField name="- Tax(5%)" numFmtId="0">
      <sharedItems containsSemiMixedTypes="0" containsString="0" containsNumber="1" containsInteger="1" minValue="9000" maxValue="30000"/>
    </cacheField>
    <cacheField name=" - Health Insurance Premium(2%)" numFmtId="0">
      <sharedItems containsSemiMixedTypes="0" containsString="0" containsNumber="1" containsInteger="1" minValue="3600" maxValue="12000"/>
    </cacheField>
    <cacheField name="    - Retirement Plan(2%)" numFmtId="0">
      <sharedItems containsSemiMixedTypes="0" containsString="0" containsNumber="1" containsInteger="1" minValue="3600" maxValue="12000"/>
    </cacheField>
    <cacheField name="-Total DEDUCTION." numFmtId="0">
      <sharedItems containsSemiMixedTypes="0" containsString="0" containsNumber="1" containsInteger="1" minValue="18000" maxValue="60000"/>
    </cacheField>
    <cacheField name="-NET SALARY " numFmtId="0">
      <sharedItems containsSemiMixedTypes="0" containsString="0" containsNumber="1" containsInteger="1" minValue="207000" maxValue="690000"/>
    </cacheField>
    <cacheField name="Months (Hire Date)" numFmtId="0" databaseField="0">
      <fieldGroup base="7">
        <rangePr groupBy="months" startDate="2015-06-19T00:00:00" endDate="2024-06-17T00:00:00"/>
        <groupItems count="14">
          <s v="&lt;6/19/2015"/>
          <s v="Jan"/>
          <s v="Feb"/>
          <s v="Mar"/>
          <s v="Apr"/>
          <s v="May"/>
          <s v="Jun"/>
          <s v="Jul"/>
          <s v="Aug"/>
          <s v="Sep"/>
          <s v="Oct"/>
          <s v="Nov"/>
          <s v="Dec"/>
          <s v="&gt;6/17/2024"/>
        </groupItems>
      </fieldGroup>
    </cacheField>
    <cacheField name="Quarters (Hire Date)" numFmtId="0" databaseField="0">
      <fieldGroup base="7">
        <rangePr groupBy="quarters" startDate="2015-06-19T00:00:00" endDate="2024-06-17T00:00:00"/>
        <groupItems count="6">
          <s v="&lt;6/19/2015"/>
          <s v="Qtr1"/>
          <s v="Qtr2"/>
          <s v="Qtr3"/>
          <s v="Qtr4"/>
          <s v="&gt;6/17/2024"/>
        </groupItems>
      </fieldGroup>
    </cacheField>
    <cacheField name="Years (Hire Date)" numFmtId="0" databaseField="0">
      <fieldGroup base="7">
        <rangePr groupBy="years" startDate="2015-06-19T00:00:00" endDate="2024-06-17T00:00:00"/>
        <groupItems count="12">
          <s v="&lt;6/19/2015"/>
          <s v="2015"/>
          <s v="2016"/>
          <s v="2017"/>
          <s v="2018"/>
          <s v="2019"/>
          <s v="2020"/>
          <s v="2021"/>
          <s v="2022"/>
          <s v="2023"/>
          <s v="2024"/>
          <s v="&gt;6/17/2024"/>
        </groupItems>
      </fieldGroup>
    </cacheField>
  </cacheFields>
  <extLst>
    <ext xmlns:x14="http://schemas.microsoft.com/office/spreadsheetml/2009/9/main" uri="{725AE2AE-9491-48be-B2B4-4EB974FC3084}">
      <x14:pivotCacheDefinition pivotCacheId="293360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s v="MDT001"/>
    <s v="Daniel"/>
    <s v="Adewale"/>
    <x v="0"/>
    <x v="0"/>
    <n v="29"/>
    <x v="0"/>
    <x v="0"/>
    <n v="8000000001"/>
    <n v="450000"/>
    <n v="1"/>
    <s v="GTBank"/>
    <n v="4500"/>
    <n v="67500"/>
    <n v="22500"/>
    <n v="9000"/>
    <n v="9000"/>
    <n v="562500"/>
    <n v="4500"/>
    <n v="22500"/>
    <n v="9000"/>
    <n v="9000"/>
    <n v="45000"/>
    <n v="517500"/>
  </r>
  <r>
    <s v="MDT002"/>
    <s v="Grace"/>
    <s v="Okafor"/>
    <x v="1"/>
    <x v="1"/>
    <n v="34"/>
    <x v="1"/>
    <x v="1"/>
    <n v="8000000002"/>
    <n v="320000"/>
    <n v="2"/>
    <s v="Access Bank"/>
    <n v="3200"/>
    <n v="48000"/>
    <n v="16000"/>
    <n v="6400"/>
    <n v="6400"/>
    <n v="400000"/>
    <n v="3200"/>
    <n v="16000"/>
    <n v="6400"/>
    <n v="6400"/>
    <n v="32000"/>
    <n v="368000"/>
  </r>
  <r>
    <s v="MDT003"/>
    <s v="Michael"/>
    <s v="Ibrahim"/>
    <x v="2"/>
    <x v="0"/>
    <n v="41"/>
    <x v="2"/>
    <x v="2"/>
    <n v="8000000003"/>
    <n v="280000"/>
    <n v="3"/>
    <s v="First Bank"/>
    <n v="2800"/>
    <n v="42000"/>
    <n v="14000"/>
    <n v="5600"/>
    <n v="5600"/>
    <n v="350000"/>
    <n v="2800"/>
    <n v="14000"/>
    <n v="5600"/>
    <n v="5600"/>
    <n v="28000"/>
    <n v="322000"/>
  </r>
  <r>
    <s v="MDT004"/>
    <s v="Esther"/>
    <s v="Balogun"/>
    <x v="3"/>
    <x v="1"/>
    <n v="31"/>
    <x v="3"/>
    <x v="3"/>
    <n v="8000000004"/>
    <n v="380000"/>
    <n v="4"/>
    <s v="UBA"/>
    <n v="3800"/>
    <n v="57000"/>
    <n v="19000"/>
    <n v="7600"/>
    <n v="7600"/>
    <n v="475000"/>
    <n v="3800"/>
    <n v="19000"/>
    <n v="7600"/>
    <n v="7600"/>
    <n v="38000"/>
    <n v="437000"/>
  </r>
  <r>
    <s v="MDT005"/>
    <s v="Samuel"/>
    <s v="Okoro"/>
    <x v="4"/>
    <x v="0"/>
    <n v="27"/>
    <x v="4"/>
    <x v="4"/>
    <n v="8000000005"/>
    <n v="300000"/>
    <n v="5"/>
    <s v="Zenith Bank"/>
    <n v="3000"/>
    <n v="45000"/>
    <n v="15000"/>
    <n v="6000"/>
    <n v="6000"/>
    <n v="375000"/>
    <n v="3000"/>
    <n v="15000"/>
    <n v="6000"/>
    <n v="6000"/>
    <n v="30000"/>
    <n v="345000"/>
  </r>
  <r>
    <s v="MDT006"/>
    <s v="Blessing"/>
    <s v="Eze"/>
    <x v="5"/>
    <x v="1"/>
    <n v="26"/>
    <x v="5"/>
    <x v="5"/>
    <n v="8000000006"/>
    <n v="250000"/>
    <n v="6"/>
    <s v="Fidelity Bank"/>
    <n v="2500"/>
    <n v="37500"/>
    <n v="12500"/>
    <n v="5000"/>
    <n v="5000"/>
    <n v="312500"/>
    <n v="2500"/>
    <n v="12500"/>
    <n v="5000"/>
    <n v="5000"/>
    <n v="25000"/>
    <n v="287500"/>
  </r>
  <r>
    <s v="MDT007"/>
    <s v="David"/>
    <s v="Yusuf"/>
    <x v="6"/>
    <x v="0"/>
    <n v="35"/>
    <x v="6"/>
    <x v="6"/>
    <n v="8000000007"/>
    <n v="350000"/>
    <n v="7"/>
    <s v="GTBank"/>
    <n v="3500"/>
    <n v="52500"/>
    <n v="17500"/>
    <n v="7000"/>
    <n v="7000"/>
    <n v="437500"/>
    <n v="3500"/>
    <n v="17500"/>
    <n v="7000"/>
    <n v="7000"/>
    <n v="35000"/>
    <n v="402500"/>
  </r>
  <r>
    <s v="MDT008"/>
    <s v="Mercy"/>
    <s v="Johnson"/>
    <x v="7"/>
    <x v="1"/>
    <n v="38"/>
    <x v="0"/>
    <x v="7"/>
    <n v="8000000008"/>
    <n v="180000"/>
    <n v="8"/>
    <s v="First Bank"/>
    <n v="1800"/>
    <n v="27000"/>
    <n v="9000"/>
    <n v="3600"/>
    <n v="3600"/>
    <n v="225000"/>
    <n v="1800"/>
    <n v="9000"/>
    <n v="3600"/>
    <n v="3600"/>
    <n v="18000"/>
    <n v="207000"/>
  </r>
  <r>
    <s v="MDT009"/>
    <s v="Joseph"/>
    <s v="Adekunle"/>
    <x v="0"/>
    <x v="0"/>
    <n v="33"/>
    <x v="7"/>
    <x v="8"/>
    <n v="8000000009"/>
    <n v="500000"/>
    <n v="9"/>
    <s v="Access Bank"/>
    <n v="5000"/>
    <n v="75000"/>
    <n v="25000"/>
    <n v="10000"/>
    <n v="10000"/>
    <n v="625000"/>
    <n v="5000"/>
    <n v="25000"/>
    <n v="10000"/>
    <n v="10000"/>
    <n v="50000"/>
    <n v="575000"/>
  </r>
  <r>
    <s v="MDT010"/>
    <s v="Sarah"/>
    <s v="Mohammed"/>
    <x v="1"/>
    <x v="1"/>
    <n v="30"/>
    <x v="8"/>
    <x v="9"/>
    <n v="8000000010"/>
    <n v="340000"/>
    <n v="10"/>
    <s v="UBA"/>
    <n v="3400"/>
    <n v="51000"/>
    <n v="17000"/>
    <n v="6800"/>
    <n v="6800"/>
    <n v="425000"/>
    <n v="3400"/>
    <n v="17000"/>
    <n v="6800"/>
    <n v="6800"/>
    <n v="34000"/>
    <n v="391000"/>
  </r>
  <r>
    <s v="MDT011"/>
    <s v="Peter"/>
    <s v="Nwosu"/>
    <x v="3"/>
    <x v="0"/>
    <n v="42"/>
    <x v="1"/>
    <x v="10"/>
    <n v="8000000011"/>
    <n v="420000"/>
    <n v="11"/>
    <s v="Zenith Bank"/>
    <n v="4200"/>
    <n v="63000"/>
    <n v="21000"/>
    <n v="8400"/>
    <n v="8400"/>
    <n v="525000"/>
    <n v="4200"/>
    <n v="21000"/>
    <n v="8400"/>
    <n v="8400"/>
    <n v="42000"/>
    <n v="483000"/>
  </r>
  <r>
    <s v="MDT012"/>
    <s v="Janet"/>
    <s v="Williams"/>
    <x v="4"/>
    <x v="1"/>
    <n v="28"/>
    <x v="9"/>
    <x v="11"/>
    <n v="8000000012"/>
    <n v="310000"/>
    <n v="12"/>
    <s v="GTBank"/>
    <n v="3100"/>
    <n v="46500"/>
    <n v="15500"/>
    <n v="6200"/>
    <n v="6200"/>
    <n v="387500"/>
    <n v="3100"/>
    <n v="15500"/>
    <n v="6200"/>
    <n v="6200"/>
    <n v="31000"/>
    <n v="356500"/>
  </r>
  <r>
    <s v="MDT013"/>
    <s v="Victor"/>
    <s v="Chukwu"/>
    <x v="5"/>
    <x v="0"/>
    <n v="32"/>
    <x v="4"/>
    <x v="12"/>
    <n v="8000000013"/>
    <n v="270000"/>
    <n v="13"/>
    <s v="Access Bank"/>
    <n v="2700"/>
    <n v="40500"/>
    <n v="13500"/>
    <n v="5400"/>
    <n v="5400"/>
    <n v="337500"/>
    <n v="2700"/>
    <n v="13500"/>
    <n v="5400"/>
    <n v="5400"/>
    <n v="27000"/>
    <n v="310500"/>
  </r>
  <r>
    <s v="MDT014"/>
    <s v="Aisha"/>
    <s v="Bello"/>
    <x v="6"/>
    <x v="1"/>
    <n v="29"/>
    <x v="2"/>
    <x v="13"/>
    <n v="8000000014"/>
    <n v="330000"/>
    <n v="14"/>
    <s v="First Bank"/>
    <n v="3300"/>
    <n v="49500"/>
    <n v="16500"/>
    <n v="6600"/>
    <n v="6600"/>
    <n v="412500"/>
    <n v="3300"/>
    <n v="16500"/>
    <n v="6600"/>
    <n v="6600"/>
    <n v="33000"/>
    <n v="379500"/>
  </r>
  <r>
    <s v="MDT015"/>
    <s v="Emmanuel"/>
    <s v="Obi"/>
    <x v="2"/>
    <x v="0"/>
    <n v="45"/>
    <x v="5"/>
    <x v="14"/>
    <n v="8000000015"/>
    <n v="300000"/>
    <n v="15"/>
    <s v="UBA"/>
    <n v="3000"/>
    <n v="45000"/>
    <n v="15000"/>
    <n v="6000"/>
    <n v="6000"/>
    <n v="375000"/>
    <n v="3000"/>
    <n v="15000"/>
    <n v="6000"/>
    <n v="6000"/>
    <n v="30000"/>
    <n v="345000"/>
  </r>
  <r>
    <s v="MDT016"/>
    <s v="Favour"/>
    <s v="Daniel"/>
    <x v="7"/>
    <x v="1"/>
    <n v="36"/>
    <x v="10"/>
    <x v="15"/>
    <n v="8000000016"/>
    <n v="190000"/>
    <n v="16"/>
    <s v="Fidelity Bank"/>
    <n v="1900"/>
    <n v="28500"/>
    <n v="9500"/>
    <n v="3800"/>
    <n v="3800"/>
    <n v="237500"/>
    <n v="1900"/>
    <n v="9500"/>
    <n v="3800"/>
    <n v="3800"/>
    <n v="19000"/>
    <n v="218500"/>
  </r>
  <r>
    <s v="MDT017"/>
    <s v="Andrew"/>
    <s v="Musa"/>
    <x v="0"/>
    <x v="0"/>
    <n v="37"/>
    <x v="2"/>
    <x v="16"/>
    <n v="8000000017"/>
    <n v="550000"/>
    <n v="17"/>
    <s v="Zenith Bank"/>
    <n v="5500"/>
    <n v="82500"/>
    <n v="27500"/>
    <n v="11000"/>
    <n v="11000"/>
    <n v="687500"/>
    <n v="5500"/>
    <n v="27500"/>
    <n v="11000"/>
    <n v="11000"/>
    <n v="55000"/>
    <n v="632500"/>
  </r>
  <r>
    <s v="MDT018"/>
    <s v="Rita"/>
    <s v="Ojo"/>
    <x v="1"/>
    <x v="1"/>
    <n v="39"/>
    <x v="0"/>
    <x v="17"/>
    <n v="8000000018"/>
    <n v="360000"/>
    <n v="18"/>
    <s v="GTBank"/>
    <n v="3600"/>
    <n v="54000"/>
    <n v="18000"/>
    <n v="7200"/>
    <n v="7200"/>
    <n v="450000"/>
    <n v="3600"/>
    <n v="18000"/>
    <n v="7200"/>
    <n v="7200"/>
    <n v="36000"/>
    <n v="414000"/>
  </r>
  <r>
    <s v="MDT019"/>
    <s v="Benjamin"/>
    <s v="Umeh"/>
    <x v="3"/>
    <x v="0"/>
    <n v="29"/>
    <x v="11"/>
    <x v="18"/>
    <n v="8000000019"/>
    <n v="390000"/>
    <n v="19"/>
    <s v="Access Bank"/>
    <n v="3900"/>
    <n v="58500"/>
    <n v="19500"/>
    <n v="7800"/>
    <n v="7800"/>
    <n v="487500"/>
    <n v="3900"/>
    <n v="19500"/>
    <n v="7800"/>
    <n v="7800"/>
    <n v="39000"/>
    <n v="448500"/>
  </r>
  <r>
    <s v="MDT020"/>
    <s v="Helen"/>
    <s v="Adeyemi"/>
    <x v="4"/>
    <x v="1"/>
    <n v="33"/>
    <x v="7"/>
    <x v="19"/>
    <n v="8000000020"/>
    <n v="325000"/>
    <n v="20"/>
    <s v="UBA"/>
    <n v="3250"/>
    <n v="48750"/>
    <n v="16250"/>
    <n v="6500"/>
    <n v="6500"/>
    <n v="406250"/>
    <n v="3250"/>
    <n v="16250"/>
    <n v="6500"/>
    <n v="6500"/>
    <n v="32500"/>
    <n v="373750"/>
  </r>
  <r>
    <s v="MDT021"/>
    <s v="Francis"/>
    <s v="Okeke"/>
    <x v="5"/>
    <x v="0"/>
    <n v="31"/>
    <x v="1"/>
    <x v="20"/>
    <n v="8000000021"/>
    <n v="285000"/>
    <n v="21"/>
    <s v="First Bank"/>
    <n v="2850"/>
    <n v="42750"/>
    <n v="14250"/>
    <n v="5700"/>
    <n v="5700"/>
    <n v="356250"/>
    <n v="2850"/>
    <n v="14250"/>
    <n v="5700"/>
    <n v="5700"/>
    <n v="28500"/>
    <n v="327750"/>
  </r>
  <r>
    <s v="MDT022"/>
    <s v="Linda"/>
    <s v="Ibrahim"/>
    <x v="6"/>
    <x v="1"/>
    <n v="27"/>
    <x v="6"/>
    <x v="21"/>
    <n v="8000000022"/>
    <n v="310000"/>
    <n v="22"/>
    <s v="Zenith Bank"/>
    <n v="3100"/>
    <n v="46500"/>
    <n v="15500"/>
    <n v="6200"/>
    <n v="6200"/>
    <n v="387500"/>
    <n v="3100"/>
    <n v="15500"/>
    <n v="6200"/>
    <n v="6200"/>
    <n v="31000"/>
    <n v="356500"/>
  </r>
  <r>
    <s v="MDT023"/>
    <s v="Isaac"/>
    <s v="Lawal"/>
    <x v="2"/>
    <x v="0"/>
    <n v="40"/>
    <x v="12"/>
    <x v="22"/>
    <n v="8000000023"/>
    <n v="290000"/>
    <n v="23"/>
    <s v="GTBank"/>
    <n v="2900"/>
    <n v="43500"/>
    <n v="14500"/>
    <n v="5800"/>
    <n v="5800"/>
    <n v="362500"/>
    <n v="2900"/>
    <n v="14500"/>
    <n v="5800"/>
    <n v="5800"/>
    <n v="29000"/>
    <n v="333500"/>
  </r>
  <r>
    <s v="MDT024"/>
    <s v="Comfort"/>
    <s v="Essien"/>
    <x v="7"/>
    <x v="1"/>
    <n v="44"/>
    <x v="13"/>
    <x v="23"/>
    <n v="8000000024"/>
    <n v="200000"/>
    <n v="24"/>
    <s v="Access Bank"/>
    <n v="2000"/>
    <n v="30000"/>
    <n v="10000"/>
    <n v="4000"/>
    <n v="4000"/>
    <n v="250000"/>
    <n v="2000"/>
    <n v="10000"/>
    <n v="4000"/>
    <n v="4000"/>
    <n v="20000"/>
    <n v="230000"/>
  </r>
  <r>
    <s v="MDT025"/>
    <s v="Christopher"/>
    <s v="George"/>
    <x v="0"/>
    <x v="0"/>
    <n v="30"/>
    <x v="9"/>
    <x v="24"/>
    <n v="8000000025"/>
    <n v="480000"/>
    <n v="25"/>
    <s v="UBA"/>
    <n v="4800"/>
    <n v="72000"/>
    <n v="24000"/>
    <n v="9600"/>
    <n v="9600"/>
    <n v="600000"/>
    <n v="4800"/>
    <n v="24000"/>
    <n v="9600"/>
    <n v="9600"/>
    <n v="48000"/>
    <n v="552000"/>
  </r>
  <r>
    <s v="MDT026"/>
    <s v="Patience"/>
    <s v="Eze"/>
    <x v="1"/>
    <x v="1"/>
    <n v="35"/>
    <x v="5"/>
    <x v="25"/>
    <n v="8000000026"/>
    <n v="370000"/>
    <n v="26"/>
    <s v="Fidelity Bank"/>
    <n v="3700"/>
    <n v="55500"/>
    <n v="18500"/>
    <n v="7400"/>
    <n v="7400"/>
    <n v="462500"/>
    <n v="3700"/>
    <n v="18500"/>
    <n v="7400"/>
    <n v="7400"/>
    <n v="37000"/>
    <n v="425500"/>
  </r>
  <r>
    <s v="MDT027"/>
    <s v="Timothy"/>
    <s v="Adebayo"/>
    <x v="3"/>
    <x v="0"/>
    <n v="28"/>
    <x v="3"/>
    <x v="26"/>
    <n v="8000000027"/>
    <n v="400000"/>
    <n v="27"/>
    <s v="Zenith Bank"/>
    <n v="4000"/>
    <n v="60000"/>
    <n v="20000"/>
    <n v="8000"/>
    <n v="8000"/>
    <n v="500000"/>
    <n v="4000"/>
    <n v="20000"/>
    <n v="8000"/>
    <n v="8000"/>
    <n v="40000"/>
    <n v="460000"/>
  </r>
  <r>
    <s v="MDT028"/>
    <s v="Sharon"/>
    <s v="James"/>
    <x v="4"/>
    <x v="1"/>
    <n v="32"/>
    <x v="0"/>
    <x v="27"/>
    <n v="8000000028"/>
    <n v="315000"/>
    <n v="28"/>
    <s v="GTBank"/>
    <n v="3150"/>
    <n v="47250"/>
    <n v="15750"/>
    <n v="6300"/>
    <n v="6300"/>
    <n v="393750"/>
    <n v="3150"/>
    <n v="15750"/>
    <n v="6300"/>
    <n v="6300"/>
    <n v="31500"/>
    <n v="362250"/>
  </r>
  <r>
    <s v="MDT029"/>
    <s v="Gabriel"/>
    <s v="Sunday"/>
    <x v="5"/>
    <x v="0"/>
    <n v="26"/>
    <x v="14"/>
    <x v="28"/>
    <n v="8000000029"/>
    <n v="260000"/>
    <n v="29"/>
    <s v="Access Bank"/>
    <n v="2600"/>
    <n v="39000"/>
    <n v="13000"/>
    <n v="5200"/>
    <n v="5200"/>
    <n v="325000"/>
    <n v="2600"/>
    <n v="13000"/>
    <n v="5200"/>
    <n v="5200"/>
    <n v="26000"/>
    <n v="299000"/>
  </r>
  <r>
    <s v="MDT030"/>
    <s v="Naomi"/>
    <s v="Abubakar"/>
    <x v="6"/>
    <x v="1"/>
    <n v="37"/>
    <x v="2"/>
    <x v="29"/>
    <n v="8000000030"/>
    <n v="345000"/>
    <n v="30"/>
    <s v="First Bank"/>
    <n v="3450"/>
    <n v="51750"/>
    <n v="17250"/>
    <n v="6900"/>
    <n v="6900"/>
    <n v="431250"/>
    <n v="3450"/>
    <n v="17250"/>
    <n v="6900"/>
    <n v="6900"/>
    <n v="34500"/>
    <n v="396750"/>
  </r>
  <r>
    <s v="MDT031"/>
    <s v="Stephen"/>
    <s v="Okafor"/>
    <x v="2"/>
    <x v="0"/>
    <n v="39"/>
    <x v="4"/>
    <x v="30"/>
    <n v="8000000031"/>
    <n v="305000"/>
    <n v="31"/>
    <s v="UBA"/>
    <n v="3050"/>
    <n v="45750"/>
    <n v="15250"/>
    <n v="6100"/>
    <n v="6100"/>
    <n v="381250"/>
    <n v="3050"/>
    <n v="15250"/>
    <n v="6100"/>
    <n v="6100"/>
    <n v="30500"/>
    <n v="350750"/>
  </r>
  <r>
    <s v="MDT032"/>
    <s v="Rebecca"/>
    <s v="Samuel"/>
    <x v="7"/>
    <x v="1"/>
    <n v="30"/>
    <x v="15"/>
    <x v="31"/>
    <n v="8000000032"/>
    <n v="185000"/>
    <n v="32"/>
    <s v="Fidelity Bank"/>
    <n v="1850"/>
    <n v="27750"/>
    <n v="9250"/>
    <n v="3700"/>
    <n v="3700"/>
    <n v="231250"/>
    <n v="1850"/>
    <n v="9250"/>
    <n v="3700"/>
    <n v="3700"/>
    <n v="18500"/>
    <n v="212750"/>
  </r>
  <r>
    <s v="MDT033"/>
    <s v="Anthony"/>
    <s v="Obi"/>
    <x v="0"/>
    <x v="0"/>
    <n v="43"/>
    <x v="1"/>
    <x v="32"/>
    <n v="8000000033"/>
    <n v="600000"/>
    <n v="33"/>
    <s v="Zenith Bank"/>
    <n v="6000"/>
    <n v="90000"/>
    <n v="30000"/>
    <n v="12000"/>
    <n v="12000"/>
    <n v="750000"/>
    <n v="6000"/>
    <n v="30000"/>
    <n v="12000"/>
    <n v="12000"/>
    <n v="60000"/>
    <n v="690000"/>
  </r>
  <r>
    <s v="MDT034"/>
    <s v="Florence"/>
    <s v="Musa"/>
    <x v="1"/>
    <x v="1"/>
    <n v="28"/>
    <x v="6"/>
    <x v="33"/>
    <n v="8000000034"/>
    <n v="350000"/>
    <n v="34"/>
    <s v="GTBank"/>
    <n v="3500"/>
    <n v="52500"/>
    <n v="17500"/>
    <n v="7000"/>
    <n v="7000"/>
    <n v="437500"/>
    <n v="3500"/>
    <n v="17500"/>
    <n v="7000"/>
    <n v="7000"/>
    <n v="35000"/>
    <n v="402500"/>
  </r>
  <r>
    <s v="MDT035"/>
    <s v="Charles"/>
    <s v="Bello"/>
    <x v="3"/>
    <x v="0"/>
    <n v="36"/>
    <x v="2"/>
    <x v="34"/>
    <n v="8000000035"/>
    <n v="435000"/>
    <n v="35"/>
    <s v="Access Bank"/>
    <n v="4350"/>
    <n v="65250"/>
    <n v="21750"/>
    <n v="8700"/>
    <n v="8700"/>
    <n v="543750"/>
    <n v="4350"/>
    <n v="21750"/>
    <n v="8700"/>
    <n v="8700"/>
    <n v="43500"/>
    <n v="500250"/>
  </r>
  <r>
    <s v="MDT036"/>
    <s v="Susan"/>
    <s v="Adeola"/>
    <x v="4"/>
    <x v="1"/>
    <n v="41"/>
    <x v="3"/>
    <x v="35"/>
    <n v="8000000036"/>
    <n v="340000"/>
    <n v="36"/>
    <s v="First Bank"/>
    <n v="3400"/>
    <n v="51000"/>
    <n v="17000"/>
    <n v="6800"/>
    <n v="6800"/>
    <n v="425000"/>
    <n v="3400"/>
    <n v="17000"/>
    <n v="6800"/>
    <n v="6800"/>
    <n v="34000"/>
    <n v="391000"/>
  </r>
  <r>
    <s v="MDT037"/>
    <s v="Richard"/>
    <s v="Eze"/>
    <x v="5"/>
    <x v="0"/>
    <n v="34"/>
    <x v="11"/>
    <x v="36"/>
    <n v="8000000037"/>
    <n v="295000"/>
    <n v="37"/>
    <s v="UBA"/>
    <n v="2950"/>
    <n v="44250"/>
    <n v="14750"/>
    <n v="5900"/>
    <n v="5900"/>
    <n v="368750"/>
    <n v="2950"/>
    <n v="14750"/>
    <n v="5900"/>
    <n v="5900"/>
    <n v="29500"/>
    <n v="339250"/>
  </r>
  <r>
    <s v="MDT038"/>
    <s v="Caroline"/>
    <s v="Yusuf"/>
    <x v="6"/>
    <x v="1"/>
    <n v="31"/>
    <x v="6"/>
    <x v="37"/>
    <n v="8000000038"/>
    <n v="360000"/>
    <n v="38"/>
    <s v="Zenith Bank"/>
    <n v="3600"/>
    <n v="54000"/>
    <n v="18000"/>
    <n v="7200"/>
    <n v="7200"/>
    <n v="450000"/>
    <n v="3600"/>
    <n v="18000"/>
    <n v="7200"/>
    <n v="7200"/>
    <n v="36000"/>
    <n v="414000"/>
  </r>
  <r>
    <s v="MDT039"/>
    <s v="Matthew"/>
    <s v="Johnson"/>
    <x v="2"/>
    <x v="0"/>
    <n v="46"/>
    <x v="0"/>
    <x v="38"/>
    <n v="8000000039"/>
    <n v="315000"/>
    <n v="39"/>
    <s v="GTBank"/>
    <n v="3150"/>
    <n v="47250"/>
    <n v="15750"/>
    <n v="6300"/>
    <n v="6300"/>
    <n v="393750"/>
    <n v="3150"/>
    <n v="15750"/>
    <n v="6300"/>
    <n v="6300"/>
    <n v="31500"/>
    <n v="362250"/>
  </r>
  <r>
    <s v="MDT040"/>
    <s v="Angela"/>
    <s v="Okeke"/>
    <x v="7"/>
    <x v="1"/>
    <n v="42"/>
    <x v="1"/>
    <x v="39"/>
    <n v="8000000040"/>
    <n v="210000"/>
    <n v="40"/>
    <s v="Access Bank"/>
    <n v="2100"/>
    <n v="31500"/>
    <n v="10500"/>
    <n v="4200"/>
    <n v="4200"/>
    <n v="262500"/>
    <n v="2100"/>
    <n v="10500"/>
    <n v="4200"/>
    <n v="4200"/>
    <n v="21000"/>
    <n v="241500"/>
  </r>
  <r>
    <s v="MDT041"/>
    <s v="Kenneth"/>
    <s v="Ojo"/>
    <x v="0"/>
    <x v="0"/>
    <n v="32"/>
    <x v="7"/>
    <x v="40"/>
    <n v="8000000041"/>
    <n v="525000"/>
    <n v="41"/>
    <s v="First Bank"/>
    <n v="5250"/>
    <n v="78750"/>
    <n v="26250"/>
    <n v="10500"/>
    <n v="10500"/>
    <n v="656250"/>
    <n v="5250"/>
    <n v="26250"/>
    <n v="10500"/>
    <n v="10500"/>
    <n v="52500"/>
    <n v="603750"/>
  </r>
  <r>
    <s v="MDT042"/>
    <s v="Deborah"/>
    <s v="Williams"/>
    <x v="1"/>
    <x v="1"/>
    <n v="40"/>
    <x v="9"/>
    <x v="41"/>
    <n v="8000000042"/>
    <n v="380000"/>
    <n v="42"/>
    <s v="UBA"/>
    <n v="3800"/>
    <n v="57000"/>
    <n v="19000"/>
    <n v="7600"/>
    <n v="7600"/>
    <n v="475000"/>
    <n v="3800"/>
    <n v="19000"/>
    <n v="7600"/>
    <n v="7600"/>
    <n v="38000"/>
    <n v="437000"/>
  </r>
  <r>
    <s v="MDT043"/>
    <s v="Emmanuel"/>
    <s v="Adeyemi"/>
    <x v="3"/>
    <x v="0"/>
    <n v="33"/>
    <x v="0"/>
    <x v="42"/>
    <n v="8000000043"/>
    <n v="410000"/>
    <n v="43"/>
    <s v="Zenith Bank"/>
    <n v="4100"/>
    <n v="61500"/>
    <n v="20500"/>
    <n v="8200"/>
    <n v="8200"/>
    <n v="512500"/>
    <n v="4100"/>
    <n v="20500"/>
    <n v="8200"/>
    <n v="8200"/>
    <n v="41000"/>
    <n v="471500"/>
  </r>
  <r>
    <s v="MDT044"/>
    <s v="Jennifer"/>
    <s v="Chukwu"/>
    <x v="4"/>
    <x v="1"/>
    <n v="29"/>
    <x v="5"/>
    <x v="43"/>
    <n v="8000000044"/>
    <n v="325000"/>
    <n v="44"/>
    <s v="GTBank"/>
    <n v="3250"/>
    <n v="48750"/>
    <n v="16250"/>
    <n v="6500"/>
    <n v="6500"/>
    <n v="406250"/>
    <n v="3250"/>
    <n v="16250"/>
    <n v="6500"/>
    <n v="6500"/>
    <n v="32500"/>
    <n v="373750"/>
  </r>
  <r>
    <s v="MDT045"/>
    <s v="Lawrence"/>
    <s v="Ibrahim"/>
    <x v="5"/>
    <x v="0"/>
    <n v="38"/>
    <x v="2"/>
    <x v="44"/>
    <n v="8000000045"/>
    <n v="305000"/>
    <n v="45"/>
    <s v="Access Bank"/>
    <n v="3050"/>
    <n v="45750"/>
    <n v="15250"/>
    <n v="6100"/>
    <n v="6100"/>
    <n v="381250"/>
    <n v="3050"/>
    <n v="15250"/>
    <n v="6100"/>
    <n v="6100"/>
    <n v="30500"/>
    <n v="350750"/>
  </r>
  <r>
    <s v="MDT046"/>
    <s v="Monica"/>
    <s v="Balogun"/>
    <x v="6"/>
    <x v="1"/>
    <n v="35"/>
    <x v="3"/>
    <x v="45"/>
    <n v="8000000046"/>
    <n v="375000"/>
    <n v="46"/>
    <s v="First Bank"/>
    <n v="3750"/>
    <n v="56250"/>
    <n v="18750"/>
    <n v="7500"/>
    <n v="7500"/>
    <n v="468750"/>
    <n v="3750"/>
    <n v="18750"/>
    <n v="7500"/>
    <n v="7500"/>
    <n v="37500"/>
    <n v="431250"/>
  </r>
  <r>
    <s v="MDT047"/>
    <s v="George"/>
    <s v="Nwosu"/>
    <x v="2"/>
    <x v="0"/>
    <n v="43"/>
    <x v="4"/>
    <x v="46"/>
    <n v="8000000047"/>
    <n v="320000"/>
    <n v="47"/>
    <s v="UBA"/>
    <n v="3200"/>
    <n v="48000"/>
    <n v="16000"/>
    <n v="6400"/>
    <n v="6400"/>
    <n v="400000"/>
    <n v="3200"/>
    <n v="16000"/>
    <n v="6400"/>
    <n v="6400"/>
    <n v="32000"/>
    <n v="368000"/>
  </r>
  <r>
    <s v="MDT048"/>
    <s v="Susan"/>
    <s v="Daniel"/>
    <x v="7"/>
    <x v="1"/>
    <n v="34"/>
    <x v="10"/>
    <x v="47"/>
    <n v="8000000048"/>
    <n v="195000"/>
    <n v="48"/>
    <s v="Fidelity Bank"/>
    <n v="1950"/>
    <n v="29250"/>
    <n v="9750"/>
    <n v="3900"/>
    <n v="3900"/>
    <n v="243750"/>
    <n v="1950"/>
    <n v="9750"/>
    <n v="3900"/>
    <n v="3900"/>
    <n v="19500"/>
    <n v="224250"/>
  </r>
  <r>
    <s v="MDT049"/>
    <s v="Daniel"/>
    <s v="Ibrahim"/>
    <x v="0"/>
    <x v="0"/>
    <n v="39"/>
    <x v="8"/>
    <x v="48"/>
    <n v="8000000049"/>
    <n v="575000"/>
    <n v="49"/>
    <s v="Zenith Bank"/>
    <n v="5750"/>
    <n v="86250"/>
    <n v="28750"/>
    <n v="11500"/>
    <n v="11500"/>
    <n v="718750"/>
    <n v="5750"/>
    <n v="28750"/>
    <n v="11500"/>
    <n v="11500"/>
    <n v="57500"/>
    <n v="661250"/>
  </r>
  <r>
    <s v="MDT050"/>
    <s v="Elizabeth"/>
    <s v="Adekunle"/>
    <x v="1"/>
    <x v="1"/>
    <n v="36"/>
    <x v="0"/>
    <x v="49"/>
    <n v="8000000050"/>
    <n v="365000"/>
    <n v="50"/>
    <s v="GTBank"/>
    <n v="3650"/>
    <n v="54750"/>
    <n v="18250"/>
    <n v="7300"/>
    <n v="7300"/>
    <n v="456250"/>
    <n v="3650"/>
    <n v="18250"/>
    <n v="7300"/>
    <n v="7300"/>
    <n v="36500"/>
    <n v="4197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8684F6D-A0AE-4336-891B-088D218178BB}"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2" firstHeaderRow="1" firstDataRow="1" firstDataCol="1"/>
  <pivotFields count="27">
    <pivotField showAll="0"/>
    <pivotField showAll="0"/>
    <pivotField showAll="0"/>
    <pivotField axis="axisRow" showAll="0" sortType="descending">
      <items count="9">
        <item x="3"/>
        <item x="7"/>
        <item x="5"/>
        <item x="1"/>
        <item x="0"/>
        <item x="6"/>
        <item x="4"/>
        <item x="2"/>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pivotField showAll="0">
      <items count="17">
        <item x="11"/>
        <item x="8"/>
        <item x="13"/>
        <item x="1"/>
        <item x="10"/>
        <item x="14"/>
        <item x="4"/>
        <item x="5"/>
        <item x="2"/>
        <item x="6"/>
        <item x="12"/>
        <item x="0"/>
        <item x="3"/>
        <item x="7"/>
        <item x="15"/>
        <item x="9"/>
        <item t="default"/>
      </items>
    </pivotField>
    <pivotField numFmtId="14" showAll="0">
      <items count="51">
        <item x="14"/>
        <item x="38"/>
        <item x="23"/>
        <item x="10"/>
        <item x="32"/>
        <item x="35"/>
        <item x="46"/>
        <item x="7"/>
        <item x="17"/>
        <item x="41"/>
        <item x="2"/>
        <item x="29"/>
        <item x="48"/>
        <item x="22"/>
        <item x="39"/>
        <item x="44"/>
        <item x="16"/>
        <item x="34"/>
        <item x="15"/>
        <item x="1"/>
        <item x="25"/>
        <item x="49"/>
        <item x="19"/>
        <item x="6"/>
        <item x="36"/>
        <item x="45"/>
        <item x="30"/>
        <item x="8"/>
        <item x="40"/>
        <item x="0"/>
        <item x="47"/>
        <item x="9"/>
        <item x="27"/>
        <item x="31"/>
        <item x="20"/>
        <item x="12"/>
        <item x="3"/>
        <item x="13"/>
        <item x="24"/>
        <item x="37"/>
        <item x="11"/>
        <item x="42"/>
        <item x="18"/>
        <item x="33"/>
        <item x="26"/>
        <item x="43"/>
        <item x="4"/>
        <item x="5"/>
        <item x="21"/>
        <item x="28"/>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s>
  <rowFields count="1">
    <field x="3"/>
  </rowFields>
  <rowItems count="9">
    <i>
      <x v="4"/>
    </i>
    <i>
      <x v="3"/>
    </i>
    <i>
      <x/>
    </i>
    <i>
      <x v="5"/>
    </i>
    <i>
      <x v="6"/>
    </i>
    <i>
      <x v="7"/>
    </i>
    <i>
      <x v="2"/>
    </i>
    <i>
      <x v="1"/>
    </i>
    <i t="grand">
      <x/>
    </i>
  </rowItems>
  <colItems count="1">
    <i/>
  </colItems>
  <dataFields count="1">
    <dataField name="Sum of Basic Salary" fld="9" baseField="0" baseItem="0" numFmtId="164"/>
  </dataFields>
  <chartFormats count="2">
    <chartFormat chart="0"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868435E-DAF3-4DD2-A31F-1CB29D2DF304}"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12" firstHeaderRow="1" firstDataRow="1" firstDataCol="1"/>
  <pivotFields count="27">
    <pivotField showAll="0"/>
    <pivotField showAll="0"/>
    <pivotField showAll="0"/>
    <pivotField axis="axisRow" showAll="0" sortType="descending">
      <items count="9">
        <item x="3"/>
        <item x="7"/>
        <item x="5"/>
        <item x="1"/>
        <item x="0"/>
        <item x="6"/>
        <item x="4"/>
        <item x="2"/>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pivotField showAll="0">
      <items count="17">
        <item x="11"/>
        <item x="8"/>
        <item x="13"/>
        <item x="1"/>
        <item x="10"/>
        <item x="14"/>
        <item x="4"/>
        <item x="5"/>
        <item x="2"/>
        <item x="6"/>
        <item x="12"/>
        <item x="0"/>
        <item x="3"/>
        <item x="7"/>
        <item x="15"/>
        <item x="9"/>
        <item t="default"/>
      </items>
    </pivotField>
    <pivotField numFmtId="14" showAll="0">
      <items count="51">
        <item x="14"/>
        <item x="38"/>
        <item x="23"/>
        <item x="10"/>
        <item x="32"/>
        <item x="35"/>
        <item x="46"/>
        <item x="7"/>
        <item x="17"/>
        <item x="41"/>
        <item x="2"/>
        <item x="29"/>
        <item x="48"/>
        <item x="22"/>
        <item x="39"/>
        <item x="44"/>
        <item x="16"/>
        <item x="34"/>
        <item x="15"/>
        <item x="1"/>
        <item x="25"/>
        <item x="49"/>
        <item x="19"/>
        <item x="6"/>
        <item x="36"/>
        <item x="45"/>
        <item x="30"/>
        <item x="8"/>
        <item x="40"/>
        <item x="0"/>
        <item x="47"/>
        <item x="9"/>
        <item x="27"/>
        <item x="31"/>
        <item x="20"/>
        <item x="12"/>
        <item x="3"/>
        <item x="13"/>
        <item x="24"/>
        <item x="37"/>
        <item x="11"/>
        <item x="42"/>
        <item x="18"/>
        <item x="33"/>
        <item x="26"/>
        <item x="43"/>
        <item x="4"/>
        <item x="5"/>
        <item x="21"/>
        <item x="2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s>
  <rowFields count="1">
    <field x="3"/>
  </rowFields>
  <rowItems count="9">
    <i>
      <x v="4"/>
    </i>
    <i>
      <x v="3"/>
    </i>
    <i>
      <x/>
    </i>
    <i>
      <x v="5"/>
    </i>
    <i>
      <x v="6"/>
    </i>
    <i>
      <x v="7"/>
    </i>
    <i>
      <x v="2"/>
    </i>
    <i>
      <x v="1"/>
    </i>
    <i t="grand">
      <x/>
    </i>
  </rowItems>
  <colItems count="1">
    <i/>
  </colItems>
  <dataFields count="1">
    <dataField name="Sum of -NET SALARY " fld="23" baseField="0" baseItem="0" numFmtId="164"/>
  </dataFields>
  <chartFormats count="2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4"/>
          </reference>
        </references>
      </pivotArea>
    </chartFormat>
    <chartFormat chart="0" format="2">
      <pivotArea type="data" outline="0" fieldPosition="0">
        <references count="2">
          <reference field="4294967294" count="1" selected="0">
            <x v="0"/>
          </reference>
          <reference field="3" count="1" selected="0">
            <x v="3"/>
          </reference>
        </references>
      </pivotArea>
    </chartFormat>
    <chartFormat chart="0" format="3">
      <pivotArea type="data" outline="0" fieldPosition="0">
        <references count="2">
          <reference field="4294967294" count="1" selected="0">
            <x v="0"/>
          </reference>
          <reference field="3" count="1" selected="0">
            <x v="0"/>
          </reference>
        </references>
      </pivotArea>
    </chartFormat>
    <chartFormat chart="0" format="4">
      <pivotArea type="data" outline="0" fieldPosition="0">
        <references count="2">
          <reference field="4294967294" count="1" selected="0">
            <x v="0"/>
          </reference>
          <reference field="3" count="1" selected="0">
            <x v="5"/>
          </reference>
        </references>
      </pivotArea>
    </chartFormat>
    <chartFormat chart="0" format="5">
      <pivotArea type="data" outline="0" fieldPosition="0">
        <references count="2">
          <reference field="4294967294" count="1" selected="0">
            <x v="0"/>
          </reference>
          <reference field="3" count="1" selected="0">
            <x v="6"/>
          </reference>
        </references>
      </pivotArea>
    </chartFormat>
    <chartFormat chart="0" format="6">
      <pivotArea type="data" outline="0" fieldPosition="0">
        <references count="2">
          <reference field="4294967294" count="1" selected="0">
            <x v="0"/>
          </reference>
          <reference field="3" count="1" selected="0">
            <x v="7"/>
          </reference>
        </references>
      </pivotArea>
    </chartFormat>
    <chartFormat chart="0" format="7">
      <pivotArea type="data" outline="0" fieldPosition="0">
        <references count="2">
          <reference field="4294967294" count="1" selected="0">
            <x v="0"/>
          </reference>
          <reference field="3" count="1" selected="0">
            <x v="2"/>
          </reference>
        </references>
      </pivotArea>
    </chartFormat>
    <chartFormat chart="0" format="8">
      <pivotArea type="data" outline="0" fieldPosition="0">
        <references count="2">
          <reference field="4294967294" count="1" selected="0">
            <x v="0"/>
          </reference>
          <reference field="3" count="1" selected="0">
            <x v="1"/>
          </reference>
        </references>
      </pivotArea>
    </chartFormat>
    <chartFormat chart="9" format="9" series="1">
      <pivotArea type="data" outline="0" fieldPosition="0">
        <references count="1">
          <reference field="4294967294" count="1" selected="0">
            <x v="0"/>
          </reference>
        </references>
      </pivotArea>
    </chartFormat>
    <chartFormat chart="9" format="10">
      <pivotArea type="data" outline="0" fieldPosition="0">
        <references count="2">
          <reference field="4294967294" count="1" selected="0">
            <x v="0"/>
          </reference>
          <reference field="3" count="1" selected="0">
            <x v="4"/>
          </reference>
        </references>
      </pivotArea>
    </chartFormat>
    <chartFormat chart="9" format="11">
      <pivotArea type="data" outline="0" fieldPosition="0">
        <references count="2">
          <reference field="4294967294" count="1" selected="0">
            <x v="0"/>
          </reference>
          <reference field="3" count="1" selected="0">
            <x v="3"/>
          </reference>
        </references>
      </pivotArea>
    </chartFormat>
    <chartFormat chart="9" format="12">
      <pivotArea type="data" outline="0" fieldPosition="0">
        <references count="2">
          <reference field="4294967294" count="1" selected="0">
            <x v="0"/>
          </reference>
          <reference field="3" count="1" selected="0">
            <x v="0"/>
          </reference>
        </references>
      </pivotArea>
    </chartFormat>
    <chartFormat chart="9" format="13">
      <pivotArea type="data" outline="0" fieldPosition="0">
        <references count="2">
          <reference field="4294967294" count="1" selected="0">
            <x v="0"/>
          </reference>
          <reference field="3" count="1" selected="0">
            <x v="5"/>
          </reference>
        </references>
      </pivotArea>
    </chartFormat>
    <chartFormat chart="9" format="14">
      <pivotArea type="data" outline="0" fieldPosition="0">
        <references count="2">
          <reference field="4294967294" count="1" selected="0">
            <x v="0"/>
          </reference>
          <reference field="3" count="1" selected="0">
            <x v="6"/>
          </reference>
        </references>
      </pivotArea>
    </chartFormat>
    <chartFormat chart="9" format="15">
      <pivotArea type="data" outline="0" fieldPosition="0">
        <references count="2">
          <reference field="4294967294" count="1" selected="0">
            <x v="0"/>
          </reference>
          <reference field="3" count="1" selected="0">
            <x v="7"/>
          </reference>
        </references>
      </pivotArea>
    </chartFormat>
    <chartFormat chart="9" format="16">
      <pivotArea type="data" outline="0" fieldPosition="0">
        <references count="2">
          <reference field="4294967294" count="1" selected="0">
            <x v="0"/>
          </reference>
          <reference field="3" count="1" selected="0">
            <x v="2"/>
          </reference>
        </references>
      </pivotArea>
    </chartFormat>
    <chartFormat chart="9" format="17">
      <pivotArea type="data" outline="0" fieldPosition="0">
        <references count="2">
          <reference field="4294967294" count="1" selected="0">
            <x v="0"/>
          </reference>
          <reference field="3" count="1" selected="0">
            <x v="1"/>
          </reference>
        </references>
      </pivotArea>
    </chartFormat>
    <chartFormat chart="12" format="36" series="1">
      <pivotArea type="data" outline="0" fieldPosition="0">
        <references count="1">
          <reference field="4294967294" count="1" selected="0">
            <x v="0"/>
          </reference>
        </references>
      </pivotArea>
    </chartFormat>
    <chartFormat chart="12" format="37">
      <pivotArea type="data" outline="0" fieldPosition="0">
        <references count="2">
          <reference field="4294967294" count="1" selected="0">
            <x v="0"/>
          </reference>
          <reference field="3" count="1" selected="0">
            <x v="4"/>
          </reference>
        </references>
      </pivotArea>
    </chartFormat>
    <chartFormat chart="12" format="38">
      <pivotArea type="data" outline="0" fieldPosition="0">
        <references count="2">
          <reference field="4294967294" count="1" selected="0">
            <x v="0"/>
          </reference>
          <reference field="3" count="1" selected="0">
            <x v="3"/>
          </reference>
        </references>
      </pivotArea>
    </chartFormat>
    <chartFormat chart="12" format="39">
      <pivotArea type="data" outline="0" fieldPosition="0">
        <references count="2">
          <reference field="4294967294" count="1" selected="0">
            <x v="0"/>
          </reference>
          <reference field="3" count="1" selected="0">
            <x v="0"/>
          </reference>
        </references>
      </pivotArea>
    </chartFormat>
    <chartFormat chart="12" format="40">
      <pivotArea type="data" outline="0" fieldPosition="0">
        <references count="2">
          <reference field="4294967294" count="1" selected="0">
            <x v="0"/>
          </reference>
          <reference field="3" count="1" selected="0">
            <x v="5"/>
          </reference>
        </references>
      </pivotArea>
    </chartFormat>
    <chartFormat chart="12" format="41">
      <pivotArea type="data" outline="0" fieldPosition="0">
        <references count="2">
          <reference field="4294967294" count="1" selected="0">
            <x v="0"/>
          </reference>
          <reference field="3" count="1" selected="0">
            <x v="6"/>
          </reference>
        </references>
      </pivotArea>
    </chartFormat>
    <chartFormat chart="12" format="42">
      <pivotArea type="data" outline="0" fieldPosition="0">
        <references count="2">
          <reference field="4294967294" count="1" selected="0">
            <x v="0"/>
          </reference>
          <reference field="3" count="1" selected="0">
            <x v="7"/>
          </reference>
        </references>
      </pivotArea>
    </chartFormat>
    <chartFormat chart="12" format="43">
      <pivotArea type="data" outline="0" fieldPosition="0">
        <references count="2">
          <reference field="4294967294" count="1" selected="0">
            <x v="0"/>
          </reference>
          <reference field="3" count="1" selected="0">
            <x v="2"/>
          </reference>
        </references>
      </pivotArea>
    </chartFormat>
    <chartFormat chart="12" format="44">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6C6B549-8E8A-4EA8-AC3A-41CB3DE48702}"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14" firstHeaderRow="1" firstDataRow="1" firstDataCol="1"/>
  <pivotFields count="27">
    <pivotField showAll="0"/>
    <pivotField showAll="0"/>
    <pivotField showAll="0"/>
    <pivotField showAll="0">
      <items count="9">
        <item x="3"/>
        <item x="7"/>
        <item x="5"/>
        <item x="1"/>
        <item x="0"/>
        <item x="6"/>
        <item x="4"/>
        <item x="2"/>
        <item t="default"/>
      </items>
    </pivotField>
    <pivotField showAll="0">
      <items count="3">
        <item x="1"/>
        <item x="0"/>
        <item t="default"/>
      </items>
    </pivotField>
    <pivotField showAll="0"/>
    <pivotField showAll="0">
      <items count="17">
        <item x="11"/>
        <item x="8"/>
        <item x="13"/>
        <item x="1"/>
        <item x="10"/>
        <item x="14"/>
        <item x="4"/>
        <item x="5"/>
        <item x="2"/>
        <item x="6"/>
        <item x="12"/>
        <item x="0"/>
        <item x="3"/>
        <item x="7"/>
        <item x="15"/>
        <item x="9"/>
        <item t="default"/>
      </items>
    </pivotField>
    <pivotField axis="axisRow" numFmtId="14" showAll="0">
      <items count="51">
        <item x="14"/>
        <item x="38"/>
        <item x="23"/>
        <item x="10"/>
        <item x="32"/>
        <item x="35"/>
        <item x="46"/>
        <item x="7"/>
        <item x="17"/>
        <item x="41"/>
        <item x="2"/>
        <item x="29"/>
        <item x="48"/>
        <item x="22"/>
        <item x="39"/>
        <item x="44"/>
        <item x="16"/>
        <item x="34"/>
        <item x="15"/>
        <item x="1"/>
        <item x="25"/>
        <item x="49"/>
        <item x="19"/>
        <item x="6"/>
        <item x="36"/>
        <item x="45"/>
        <item x="30"/>
        <item x="8"/>
        <item x="40"/>
        <item x="0"/>
        <item x="47"/>
        <item x="9"/>
        <item x="27"/>
        <item x="31"/>
        <item x="20"/>
        <item x="12"/>
        <item x="3"/>
        <item x="13"/>
        <item x="24"/>
        <item x="37"/>
        <item x="11"/>
        <item x="42"/>
        <item x="18"/>
        <item x="33"/>
        <item x="26"/>
        <item x="43"/>
        <item x="4"/>
        <item x="5"/>
        <item x="21"/>
        <item x="28"/>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sortType="descending">
      <items count="13">
        <item sd="0" x="0"/>
        <item sd="0" x="1"/>
        <item sd="0" x="2"/>
        <item sd="0" x="3"/>
        <item sd="0" x="4"/>
        <item sd="0" x="5"/>
        <item sd="0" x="6"/>
        <item sd="0" x="7"/>
        <item sd="0" x="8"/>
        <item sd="0" x="9"/>
        <item sd="0" x="10"/>
        <item sd="0" x="11"/>
        <item t="default"/>
      </items>
      <autoSortScope>
        <pivotArea dataOnly="0" outline="0" fieldPosition="0">
          <references count="1">
            <reference field="4294967294" count="1" selected="0">
              <x v="0"/>
            </reference>
          </references>
        </pivotArea>
      </autoSortScope>
    </pivotField>
  </pivotFields>
  <rowFields count="4">
    <field x="26"/>
    <field x="25"/>
    <field x="24"/>
    <field x="7"/>
  </rowFields>
  <rowItems count="11">
    <i>
      <x v="2"/>
    </i>
    <i>
      <x v="8"/>
    </i>
    <i>
      <x v="5"/>
    </i>
    <i>
      <x v="6"/>
    </i>
    <i>
      <x v="9"/>
    </i>
    <i>
      <x v="4"/>
    </i>
    <i>
      <x v="7"/>
    </i>
    <i>
      <x v="3"/>
    </i>
    <i>
      <x v="1"/>
    </i>
    <i>
      <x v="10"/>
    </i>
    <i t="grand">
      <x/>
    </i>
  </rowItems>
  <colItems count="1">
    <i/>
  </colItems>
  <dataFields count="1">
    <dataField name="Average of Basic Salary" fld="9" subtotal="average" baseField="26" baseItem="1" numFmtId="165"/>
  </dataFields>
  <chartFormats count="2">
    <chartFormat chart="0" format="0"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5AA7D7B-1D17-456B-A8A4-EA74A664F632}"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E12" firstHeaderRow="0" firstDataRow="1" firstDataCol="1"/>
  <pivotFields count="27">
    <pivotField showAll="0"/>
    <pivotField showAll="0"/>
    <pivotField showAll="0"/>
    <pivotField axis="axisRow" showAll="0" sortType="descending">
      <items count="9">
        <item x="3"/>
        <item x="7"/>
        <item x="5"/>
        <item x="1"/>
        <item x="0"/>
        <item x="6"/>
        <item x="4"/>
        <item x="2"/>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pivotField showAll="0">
      <items count="17">
        <item x="11"/>
        <item x="8"/>
        <item x="13"/>
        <item x="1"/>
        <item x="10"/>
        <item x="14"/>
        <item x="4"/>
        <item x="5"/>
        <item x="2"/>
        <item x="6"/>
        <item x="12"/>
        <item x="0"/>
        <item x="3"/>
        <item x="7"/>
        <item x="15"/>
        <item x="9"/>
        <item t="default"/>
      </items>
    </pivotField>
    <pivotField numFmtId="14" showAll="0">
      <items count="51">
        <item x="14"/>
        <item x="38"/>
        <item x="23"/>
        <item x="10"/>
        <item x="32"/>
        <item x="35"/>
        <item x="46"/>
        <item x="7"/>
        <item x="17"/>
        <item x="41"/>
        <item x="2"/>
        <item x="29"/>
        <item x="48"/>
        <item x="22"/>
        <item x="39"/>
        <item x="44"/>
        <item x="16"/>
        <item x="34"/>
        <item x="15"/>
        <item x="1"/>
        <item x="25"/>
        <item x="49"/>
        <item x="19"/>
        <item x="6"/>
        <item x="36"/>
        <item x="45"/>
        <item x="30"/>
        <item x="8"/>
        <item x="40"/>
        <item x="0"/>
        <item x="47"/>
        <item x="9"/>
        <item x="27"/>
        <item x="31"/>
        <item x="20"/>
        <item x="12"/>
        <item x="3"/>
        <item x="13"/>
        <item x="24"/>
        <item x="37"/>
        <item x="11"/>
        <item x="42"/>
        <item x="18"/>
        <item x="33"/>
        <item x="26"/>
        <item x="43"/>
        <item x="4"/>
        <item x="5"/>
        <item x="21"/>
        <item x="28"/>
        <item t="default"/>
      </items>
    </pivotField>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showAll="0"/>
    <pivotField showAll="0"/>
    <pivotField showAll="0" defaultSubtotal="0"/>
    <pivotField showAll="0" defaultSubtotal="0"/>
    <pivotField showAll="0" defaultSubtotal="0">
      <items count="12">
        <item x="0"/>
        <item x="1"/>
        <item x="2"/>
        <item x="3"/>
        <item x="4"/>
        <item x="5"/>
        <item x="6"/>
        <item x="7"/>
        <item x="8"/>
        <item x="9"/>
        <item x="10"/>
        <item x="11"/>
      </items>
    </pivotField>
  </pivotFields>
  <rowFields count="1">
    <field x="3"/>
  </rowFields>
  <rowItems count="9">
    <i>
      <x v="4"/>
    </i>
    <i>
      <x v="3"/>
    </i>
    <i>
      <x/>
    </i>
    <i>
      <x v="5"/>
    </i>
    <i>
      <x v="6"/>
    </i>
    <i>
      <x v="7"/>
    </i>
    <i>
      <x v="2"/>
    </i>
    <i>
      <x v="1"/>
    </i>
    <i t="grand">
      <x/>
    </i>
  </rowItems>
  <colFields count="1">
    <field x="-2"/>
  </colFields>
  <colItems count="4">
    <i>
      <x/>
    </i>
    <i i="1">
      <x v="1"/>
    </i>
    <i i="2">
      <x v="2"/>
    </i>
    <i i="3">
      <x v="3"/>
    </i>
  </colItems>
  <dataFields count="4">
    <dataField name="Sum of - Loan(1%)" fld="18" baseField="0" baseItem="0" numFmtId="165"/>
    <dataField name="Sum of - Tax(5%)" fld="19" baseField="0" baseItem="0" numFmtId="165"/>
    <dataField name="Sum of  - Health Insurance Premium(2%)" fld="20" baseField="0" baseItem="0" numFmtId="165"/>
    <dataField name="Sum of     - Retirement Plan(2%)" fld="21" baseField="0" baseItem="0" numFmtId="165"/>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11" format="16" series="1">
      <pivotArea type="data" outline="0" fieldPosition="0">
        <references count="1">
          <reference field="4294967294" count="1" selected="0">
            <x v="0"/>
          </reference>
        </references>
      </pivotArea>
    </chartFormat>
    <chartFormat chart="11" format="17" series="1">
      <pivotArea type="data" outline="0" fieldPosition="0">
        <references count="1">
          <reference field="4294967294" count="1" selected="0">
            <x v="1"/>
          </reference>
        </references>
      </pivotArea>
    </chartFormat>
    <chartFormat chart="11" format="18" series="1">
      <pivotArea type="data" outline="0" fieldPosition="0">
        <references count="1">
          <reference field="4294967294" count="1" selected="0">
            <x v="2"/>
          </reference>
        </references>
      </pivotArea>
    </chartFormat>
    <chartFormat chart="11" format="19"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FA97861-5D81-43DF-8020-E7C275B941CA}"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C12" firstHeaderRow="0" firstDataRow="1" firstDataCol="1"/>
  <pivotFields count="27">
    <pivotField showAll="0"/>
    <pivotField showAll="0"/>
    <pivotField showAll="0"/>
    <pivotField axis="axisRow" showAll="0" sortType="descending">
      <items count="9">
        <item x="3"/>
        <item x="7"/>
        <item x="5"/>
        <item x="1"/>
        <item x="0"/>
        <item x="6"/>
        <item x="4"/>
        <item x="2"/>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pivotField showAll="0">
      <items count="17">
        <item x="11"/>
        <item x="8"/>
        <item x="13"/>
        <item x="1"/>
        <item x="10"/>
        <item x="14"/>
        <item x="4"/>
        <item x="5"/>
        <item x="2"/>
        <item x="6"/>
        <item x="12"/>
        <item x="0"/>
        <item x="3"/>
        <item x="7"/>
        <item x="15"/>
        <item x="9"/>
        <item t="default"/>
      </items>
    </pivotField>
    <pivotField numFmtId="14" showAll="0">
      <items count="51">
        <item x="14"/>
        <item x="38"/>
        <item x="23"/>
        <item x="10"/>
        <item x="32"/>
        <item x="35"/>
        <item x="46"/>
        <item x="7"/>
        <item x="17"/>
        <item x="41"/>
        <item x="2"/>
        <item x="29"/>
        <item x="48"/>
        <item x="22"/>
        <item x="39"/>
        <item x="44"/>
        <item x="16"/>
        <item x="34"/>
        <item x="15"/>
        <item x="1"/>
        <item x="25"/>
        <item x="49"/>
        <item x="19"/>
        <item x="6"/>
        <item x="36"/>
        <item x="45"/>
        <item x="30"/>
        <item x="8"/>
        <item x="40"/>
        <item x="0"/>
        <item x="47"/>
        <item x="9"/>
        <item x="27"/>
        <item x="31"/>
        <item x="20"/>
        <item x="12"/>
        <item x="3"/>
        <item x="13"/>
        <item x="24"/>
        <item x="37"/>
        <item x="11"/>
        <item x="42"/>
        <item x="18"/>
        <item x="33"/>
        <item x="26"/>
        <item x="43"/>
        <item x="4"/>
        <item x="5"/>
        <item x="21"/>
        <item x="28"/>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defaultSubtotal="0"/>
    <pivotField showAll="0" defaultSubtotal="0"/>
    <pivotField showAll="0" defaultSubtotal="0">
      <items count="12">
        <item x="0"/>
        <item x="1"/>
        <item x="2"/>
        <item x="3"/>
        <item x="4"/>
        <item x="5"/>
        <item x="6"/>
        <item x="7"/>
        <item x="8"/>
        <item x="9"/>
        <item x="10"/>
        <item x="11"/>
      </items>
    </pivotField>
  </pivotFields>
  <rowFields count="1">
    <field x="3"/>
  </rowFields>
  <rowItems count="9">
    <i>
      <x v="4"/>
    </i>
    <i>
      <x v="3"/>
    </i>
    <i>
      <x/>
    </i>
    <i>
      <x v="5"/>
    </i>
    <i>
      <x v="6"/>
    </i>
    <i>
      <x v="7"/>
    </i>
    <i>
      <x v="2"/>
    </i>
    <i>
      <x v="1"/>
    </i>
    <i t="grand">
      <x/>
    </i>
  </rowItems>
  <colFields count="1">
    <field x="-2"/>
  </colFields>
  <colItems count="2">
    <i>
      <x/>
    </i>
    <i i="1">
      <x v="1"/>
    </i>
  </colItems>
  <dataFields count="2">
    <dataField name="Sum of Basic Salary" fld="9" baseField="0" baseItem="0" numFmtId="165"/>
    <dataField name="Sum of -NET SALARY " fld="23" baseField="0" baseItem="0" numFmtId="166"/>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1" format="8" series="1">
      <pivotArea type="data" outline="0" fieldPosition="0">
        <references count="1">
          <reference field="4294967294" count="1" selected="0">
            <x v="0"/>
          </reference>
        </references>
      </pivotArea>
    </chartFormat>
    <chartFormat chart="11"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2AC266E-92A1-451B-BAFB-6EC4C63B06C4}"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27">
    <pivotField dataField="1" showAll="0"/>
    <pivotField showAll="0"/>
    <pivotField showAll="0"/>
    <pivotField showAll="0">
      <items count="9">
        <item x="3"/>
        <item x="7"/>
        <item x="5"/>
        <item x="1"/>
        <item x="0"/>
        <item x="6"/>
        <item x="4"/>
        <item x="2"/>
        <item t="default"/>
      </items>
    </pivotField>
    <pivotField showAll="0">
      <items count="3">
        <item x="1"/>
        <item x="0"/>
        <item t="default"/>
      </items>
    </pivotField>
    <pivotField showAll="0"/>
    <pivotField showAll="0">
      <items count="17">
        <item x="11"/>
        <item x="8"/>
        <item x="13"/>
        <item x="1"/>
        <item x="10"/>
        <item x="14"/>
        <item x="4"/>
        <item x="5"/>
        <item x="2"/>
        <item x="6"/>
        <item x="12"/>
        <item x="0"/>
        <item x="3"/>
        <item x="7"/>
        <item x="15"/>
        <item x="9"/>
        <item t="default"/>
      </items>
    </pivotField>
    <pivotField numFmtId="14" showAll="0">
      <items count="51">
        <item x="14"/>
        <item x="38"/>
        <item x="23"/>
        <item x="10"/>
        <item x="32"/>
        <item x="35"/>
        <item x="46"/>
        <item x="7"/>
        <item x="17"/>
        <item x="41"/>
        <item x="2"/>
        <item x="29"/>
        <item x="48"/>
        <item x="22"/>
        <item x="39"/>
        <item x="44"/>
        <item x="16"/>
        <item x="34"/>
        <item x="15"/>
        <item x="1"/>
        <item x="25"/>
        <item x="49"/>
        <item x="19"/>
        <item x="6"/>
        <item x="36"/>
        <item x="45"/>
        <item x="30"/>
        <item x="8"/>
        <item x="40"/>
        <item x="0"/>
        <item x="47"/>
        <item x="9"/>
        <item x="27"/>
        <item x="31"/>
        <item x="20"/>
        <item x="12"/>
        <item x="3"/>
        <item x="13"/>
        <item x="24"/>
        <item x="37"/>
        <item x="11"/>
        <item x="42"/>
        <item x="18"/>
        <item x="33"/>
        <item x="26"/>
        <item x="43"/>
        <item x="4"/>
        <item x="5"/>
        <item x="21"/>
        <item x="28"/>
        <item t="default"/>
      </items>
    </pivotField>
    <pivotField showAll="0"/>
    <pivotField dataField="1" showAll="0"/>
    <pivotField showAll="0"/>
    <pivotField showAll="0"/>
    <pivotField showAll="0"/>
    <pivotField showAll="0"/>
    <pivotField showAll="0"/>
    <pivotField showAll="0"/>
    <pivotField showAll="0"/>
    <pivotField dataField="1" showAll="0"/>
    <pivotField showAll="0"/>
    <pivotField showAll="0"/>
    <pivotField showAll="0"/>
    <pivotField showAll="0"/>
    <pivotField dataField="1" showAll="0"/>
    <pivotField dataField="1" showAll="0"/>
    <pivotField showAll="0" defaultSubtotal="0"/>
    <pivotField showAll="0" defaultSubtotal="0"/>
    <pivotField showAll="0" defaultSubtotal="0">
      <items count="12">
        <item x="0"/>
        <item x="1"/>
        <item x="2"/>
        <item x="3"/>
        <item x="4"/>
        <item x="5"/>
        <item x="6"/>
        <item x="7"/>
        <item x="8"/>
        <item x="9"/>
        <item x="10"/>
        <item x="11"/>
      </items>
    </pivotField>
  </pivotFields>
  <rowItems count="1">
    <i/>
  </rowItems>
  <colFields count="1">
    <field x="-2"/>
  </colFields>
  <colItems count="5">
    <i>
      <x/>
    </i>
    <i i="1">
      <x v="1"/>
    </i>
    <i i="2">
      <x v="2"/>
    </i>
    <i i="3">
      <x v="3"/>
    </i>
    <i i="4">
      <x v="4"/>
    </i>
  </colItems>
  <dataFields count="5">
    <dataField name="Average of Basic Salary" fld="9" subtotal="average" baseField="0" baseItem="1"/>
    <dataField name="Count of Employee ID" fld="0" subtotal="count" baseField="0" baseItem="0"/>
    <dataField name="Sum of -NET SALARY " fld="23" baseField="0" baseItem="0"/>
    <dataField name="Sum of - Gross Salary" fld="17" baseField="0" baseItem="0"/>
    <dataField name="Sum of -Total DEDUCTION."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C712328-C4A0-4FDC-B55E-9DD58ECC8C24}"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6" firstHeaderRow="1" firstDataRow="1" firstDataCol="1"/>
  <pivotFields count="27">
    <pivotField showAll="0"/>
    <pivotField showAll="0"/>
    <pivotField showAll="0"/>
    <pivotField showAll="0"/>
    <pivotField axis="axisRow" showAll="0">
      <items count="3">
        <item x="1"/>
        <item x="0"/>
        <item t="default"/>
      </items>
    </pivotField>
    <pivotField showAll="0"/>
    <pivotField showAll="0"/>
    <pivotField numFmtId="14" showAll="0">
      <items count="51">
        <item x="14"/>
        <item x="38"/>
        <item x="23"/>
        <item x="10"/>
        <item x="32"/>
        <item x="35"/>
        <item x="46"/>
        <item x="7"/>
        <item x="17"/>
        <item x="41"/>
        <item x="2"/>
        <item x="29"/>
        <item x="48"/>
        <item x="22"/>
        <item x="39"/>
        <item x="44"/>
        <item x="16"/>
        <item x="34"/>
        <item x="15"/>
        <item x="1"/>
        <item x="25"/>
        <item x="49"/>
        <item x="19"/>
        <item x="6"/>
        <item x="36"/>
        <item x="45"/>
        <item x="30"/>
        <item x="8"/>
        <item x="40"/>
        <item x="0"/>
        <item x="47"/>
        <item x="9"/>
        <item x="27"/>
        <item x="31"/>
        <item x="20"/>
        <item x="12"/>
        <item x="3"/>
        <item x="13"/>
        <item x="24"/>
        <item x="37"/>
        <item x="11"/>
        <item x="42"/>
        <item x="18"/>
        <item x="33"/>
        <item x="26"/>
        <item x="43"/>
        <item x="4"/>
        <item x="5"/>
        <item x="21"/>
        <item x="28"/>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12">
        <item x="0"/>
        <item x="1"/>
        <item x="2"/>
        <item x="3"/>
        <item x="4"/>
        <item x="5"/>
        <item x="6"/>
        <item x="7"/>
        <item x="8"/>
        <item x="9"/>
        <item x="10"/>
        <item x="11"/>
      </items>
    </pivotField>
  </pivotFields>
  <rowFields count="1">
    <field x="4"/>
  </rowFields>
  <rowItems count="3">
    <i>
      <x/>
    </i>
    <i>
      <x v="1"/>
    </i>
    <i t="grand">
      <x/>
    </i>
  </rowItems>
  <colItems count="1">
    <i/>
  </colItems>
  <dataFields count="1">
    <dataField name="Average of Basic Salary" fld="9" subtotal="average" baseField="4"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D320BE23-5C16-49ED-9F8C-DCBE6637B85D}" autoFormatId="16" applyNumberFormats="0" applyBorderFormats="0" applyFontFormats="0" applyPatternFormats="0" applyAlignmentFormats="0" applyWidthHeightFormats="0">
  <queryTableRefresh nextId="29" unboundColumnsRight="13">
    <queryTableFields count="25">
      <queryTableField id="1" name="Employee ID" tableColumnId="1"/>
      <queryTableField id="2" name="First Name" tableColumnId="2"/>
      <queryTableField id="3" name="Last Name" tableColumnId="3"/>
      <queryTableField id="4" name="Department" tableColumnId="4"/>
      <queryTableField id="5" name="Gender" tableColumnId="5"/>
      <queryTableField id="6" name="Age" tableColumnId="6"/>
      <queryTableField id="7" name="State" tableColumnId="7"/>
      <queryTableField id="8" name="Hire Date" tableColumnId="8"/>
      <queryTableField id="9" name="Phone Number" tableColumnId="9"/>
      <queryTableField id="10" name="Basic Salary" tableColumnId="10"/>
      <queryTableField id="11" name="Account Number" tableColumnId="11"/>
      <queryTableField id="12" name="Bank Name" tableColumnId="12"/>
      <queryTableField id="13" dataBound="0" tableColumnId="13"/>
      <queryTableField id="14" dataBound="0" tableColumnId="14"/>
      <queryTableField id="15" dataBound="0" tableColumnId="15"/>
      <queryTableField id="16" dataBound="0" tableColumnId="16"/>
      <queryTableField id="17" dataBound="0" tableColumnId="17"/>
      <queryTableField id="18" dataBound="0" tableColumnId="18"/>
      <queryTableField id="22" dataBound="0" tableColumnId="22"/>
      <queryTableField id="23" dataBound="0" tableColumnId="23"/>
      <queryTableField id="24" dataBound="0" tableColumnId="24"/>
      <queryTableField id="25" dataBound="0" tableColumnId="25"/>
      <queryTableField id="26" dataBound="0" tableColumnId="26"/>
      <queryTableField id="27" dataBound="0" tableColumnId="27"/>
      <queryTableField id="28" dataBound="0" tableColumnId="1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477A8BA-2EA3-439E-BE4E-0D4C387B0A32}" sourceName="Department">
  <pivotTables>
    <pivotTable tabId="12" name="PivotTable8"/>
    <pivotTable tabId="9" name="PivotTable4"/>
    <pivotTable tabId="7" name="PivotTable2"/>
    <pivotTable tabId="11" name="PivotTable7"/>
    <pivotTable tabId="8" name="PivotTable3"/>
    <pivotTable tabId="17" name="PivotTable1"/>
  </pivotTables>
  <data>
    <tabular pivotCacheId="29336086">
      <items count="8">
        <i x="3" s="1"/>
        <i x="7" s="1"/>
        <i x="5" s="1"/>
        <i x="1" s="1"/>
        <i x="0" s="1"/>
        <i x="6"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308EA65-7410-42D8-AFC6-245DA8B2CB3C}" sourceName="Gender">
  <pivotTables>
    <pivotTable tabId="12" name="PivotTable8"/>
    <pivotTable tabId="9" name="PivotTable4"/>
    <pivotTable tabId="7" name="PivotTable2"/>
    <pivotTable tabId="11" name="PivotTable7"/>
    <pivotTable tabId="8" name="PivotTable3"/>
    <pivotTable tabId="17" name="PivotTable1"/>
  </pivotTables>
  <data>
    <tabular pivotCacheId="29336086">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D0DDDF7D-C6B5-4298-8359-829972F57C64}" sourceName="State">
  <pivotTables>
    <pivotTable tabId="12" name="PivotTable8"/>
    <pivotTable tabId="9" name="PivotTable4"/>
    <pivotTable tabId="7" name="PivotTable2"/>
    <pivotTable tabId="11" name="PivotTable7"/>
    <pivotTable tabId="8" name="PivotTable3"/>
    <pivotTable tabId="17" name="PivotTable1"/>
  </pivotTables>
  <data>
    <tabular pivotCacheId="29336086">
      <items count="16">
        <i x="11" s="1"/>
        <i x="8" s="1"/>
        <i x="13" s="1"/>
        <i x="1" s="1"/>
        <i x="10" s="1"/>
        <i x="14" s="1"/>
        <i x="4" s="1"/>
        <i x="5" s="1"/>
        <i x="2" s="1"/>
        <i x="6" s="1"/>
        <i x="12" s="1"/>
        <i x="0" s="1"/>
        <i x="3" s="1"/>
        <i x="7" s="1"/>
        <i x="15" s="1"/>
        <i x="9"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Hire_Date" xr10:uid="{856781BE-9D5E-4F98-8FA8-249C3E3FB21A}" sourceName="Years (Hire Date)">
  <pivotTables>
    <pivotTable tabId="12" name="PivotTable8"/>
    <pivotTable tabId="9" name="PivotTable4"/>
    <pivotTable tabId="7" name="PivotTable2"/>
    <pivotTable tabId="11" name="PivotTable7"/>
    <pivotTable tabId="8" name="PivotTable3"/>
    <pivotTable tabId="17" name="PivotTable1"/>
  </pivotTables>
  <data>
    <tabular pivotCacheId="29336086">
      <items count="12">
        <i x="1" s="1"/>
        <i x="2" s="1"/>
        <i x="3" s="1"/>
        <i x="4" s="1"/>
        <i x="5" s="1"/>
        <i x="6" s="1"/>
        <i x="7" s="1"/>
        <i x="8" s="1"/>
        <i x="9" s="1"/>
        <i x="10" s="1"/>
        <i x="0" s="1" nd="1"/>
        <i x="11"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8CCF8495-EB35-4385-B153-F5CCC510F916}" cache="Slicer_Department" caption="Department" rowHeight="234950"/>
  <slicer name="Gender 1" xr10:uid="{2DC391A5-ED96-4D35-B769-F98869109DBB}" cache="Slicer_Gender" caption="Gender" rowHeight="234950"/>
  <slicer name="State 1" xr10:uid="{07E923BE-D371-498C-96D3-D2B2B2FB2F6E}" cache="Slicer_State" caption="State" startItem="8" rowHeight="234950"/>
  <slicer name="Years (Hire Date) 1" xr10:uid="{8CD4FDB7-8C08-43D7-A15F-EB8F01420F01}" cache="Slicer_Years__Hire_Date" caption="Years (Hire Dat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6B21154-6739-4E27-B5A9-2A87EDB316DA}" name="salarydata" displayName="salarydata" ref="A1:Y51" tableType="queryTable" totalsRowShown="0">
  <autoFilter ref="A1:Y51" xr:uid="{26B21154-6739-4E27-B5A9-2A87EDB316DA}"/>
  <sortState xmlns:xlrd2="http://schemas.microsoft.com/office/spreadsheetml/2017/richdata2" ref="A2:X51">
    <sortCondition ref="J1:J51"/>
  </sortState>
  <tableColumns count="25">
    <tableColumn id="1" xr3:uid="{444BD28A-058D-47DA-8523-8AEB9DA89EC6}" uniqueName="1" name="Employee ID" queryTableFieldId="1"/>
    <tableColumn id="2" xr3:uid="{95CEE144-8A17-4112-8D16-269BAD9DB490}" uniqueName="2" name="First Name" queryTableFieldId="2"/>
    <tableColumn id="3" xr3:uid="{71130684-2026-49DE-AA9B-7FFCA27A612B}" uniqueName="3" name="Last Name" queryTableFieldId="3"/>
    <tableColumn id="4" xr3:uid="{80CBC2D7-58C6-4B9A-BAE4-5DEA51003604}" uniqueName="4" name="Department" queryTableFieldId="4"/>
    <tableColumn id="5" xr3:uid="{291E2398-93B7-4DE5-B9FB-A2F1B5AC2C03}" uniqueName="5" name="Gender" queryTableFieldId="5"/>
    <tableColumn id="6" xr3:uid="{07CD322B-0694-43D8-95FD-E80BB1744F49}" uniqueName="6" name="Age" queryTableFieldId="6"/>
    <tableColumn id="7" xr3:uid="{8C7E32C0-56D8-4CC9-B987-69DAADECC4D8}" uniqueName="7" name="State" queryTableFieldId="7"/>
    <tableColumn id="8" xr3:uid="{40D443A3-7886-4298-B96E-1C9F95EAB174}" uniqueName="8" name="Hire Date" queryTableFieldId="8" dataDxfId="17"/>
    <tableColumn id="9" xr3:uid="{54C07053-FAD2-40FF-9D3B-517CFEDFAECF}" uniqueName="9" name="Phone Number" queryTableFieldId="9"/>
    <tableColumn id="10" xr3:uid="{806EE48F-0629-49BD-9CB1-869FB1C10252}" uniqueName="10" name="Basic Salary" queryTableFieldId="10"/>
    <tableColumn id="11" xr3:uid="{376ABC10-A548-4E0C-A3EA-DE4AA89E972D}" uniqueName="11" name="Account Number" queryTableFieldId="11"/>
    <tableColumn id="12" xr3:uid="{681D25F5-5597-41E0-8FC2-C3FFD546E3B4}" uniqueName="12" name="Bank Name" queryTableFieldId="12"/>
    <tableColumn id="13" xr3:uid="{3CBFCAEE-949F-4930-AA24-BDF4BA0AD17B}" uniqueName="13" name=" -Performance Bonus (1%)" queryTableFieldId="13" dataDxfId="16">
      <calculatedColumnFormula>salarydata[[#This Row],[Basic Salary]]*$AC$13</calculatedColumnFormula>
    </tableColumn>
    <tableColumn id="14" xr3:uid="{5C284AD8-A337-4CD5-9570-0C9F128B56D6}" uniqueName="14" name="- House Allowance (15%)" queryTableFieldId="14" dataDxfId="15">
      <calculatedColumnFormula>salarydata[[#This Row],[Basic Salary]]*$AC$14</calculatedColumnFormula>
    </tableColumn>
    <tableColumn id="15" xr3:uid="{5EFF338A-57CD-43B9-BCC4-3711CE98DB89}" uniqueName="15" name="- Transport Allowance (5%)" queryTableFieldId="15" dataDxfId="14">
      <calculatedColumnFormula>salarydata[[#This Row],[Basic Salary]]*$AC$15</calculatedColumnFormula>
    </tableColumn>
    <tableColumn id="16" xr3:uid="{87576391-5EED-4C91-AA3B-6E27BF9FF5FE}" uniqueName="16" name="- wordrope Allowance (2%)" queryTableFieldId="16" dataDxfId="13">
      <calculatedColumnFormula>salarydata[[#This Row],[Basic Salary]]*$AC$16</calculatedColumnFormula>
    </tableColumn>
    <tableColumn id="17" xr3:uid="{41E23503-AF3F-4F59-B627-89FF56558D09}" uniqueName="17" name="- Over Time(2%)" queryTableFieldId="17" dataDxfId="12">
      <calculatedColumnFormula>salarydata[[#This Row],[Basic Salary]]*$AC$17</calculatedColumnFormula>
    </tableColumn>
    <tableColumn id="18" xr3:uid="{228C9D69-3079-4FA0-9C00-E349E25C8137}" uniqueName="18" name="- Gross Salary" queryTableFieldId="18" dataDxfId="11">
      <calculatedColumnFormula>salarydata[[#This Row],[Basic Salary]]+salarydata[[#This Row],[ -Performance Bonus (1%)]]+salarydata[[#This Row],[- House Allowance (15%)]]+salarydata[[#This Row],[- Transport Allowance (5%)]]+salarydata[[#This Row],[- wordrope Allowance (2%)]]+salarydata[[#This Row],[- Over Time(2%)]]</calculatedColumnFormula>
    </tableColumn>
    <tableColumn id="22" xr3:uid="{092A0545-C857-4FCD-B036-DC78DF8EFB01}" uniqueName="22" name="- Loan(1%)" queryTableFieldId="22" dataDxfId="10">
      <calculatedColumnFormula>salarydata[[#This Row],[Basic Salary]]*$AC$19</calculatedColumnFormula>
    </tableColumn>
    <tableColumn id="23" xr3:uid="{03466B97-E89A-4491-8C10-F77317CAEBF7}" uniqueName="23" name="- Tax(5%)" queryTableFieldId="23" dataDxfId="9">
      <calculatedColumnFormula>salarydata[[#This Row],[Basic Salary]]*tax</calculatedColumnFormula>
    </tableColumn>
    <tableColumn id="24" xr3:uid="{19B68B17-300B-4A04-BFFA-94CA4D877FE5}" uniqueName="24" name=" - Health Insurance Premium(2%)" queryTableFieldId="24" dataDxfId="8">
      <calculatedColumnFormula>salarydata[[#This Row],[Basic Salary]]*healthinsurancepremium</calculatedColumnFormula>
    </tableColumn>
    <tableColumn id="25" xr3:uid="{0942C045-640C-4397-8F4E-3AD3FF7A50B8}" uniqueName="25" name="    - Retirement Plan(2%)" queryTableFieldId="25" dataDxfId="7">
      <calculatedColumnFormula>salarydata[[#This Row],[Basic Salary]]*retirementplan</calculatedColumnFormula>
    </tableColumn>
    <tableColumn id="26" xr3:uid="{9C29F8AC-FC0E-4572-BCAD-9A16C389A1A3}" uniqueName="26" name="-Total DEDUCTION." queryTableFieldId="26" dataDxfId="6">
      <calculatedColumnFormula>salarydata[[#This Row],[- Loan(1%)]]+salarydata[[#This Row],[- Tax(5%)]]+salarydata[[#This Row],[ - Health Insurance Premium(2%)]]+salarydata[[#This Row],[    - Retirement Plan(2%)]]</calculatedColumnFormula>
    </tableColumn>
    <tableColumn id="27" xr3:uid="{C2D42B52-0366-4913-A0C5-806DF6DA0DB1}" uniqueName="27" name="-NET SALARY " queryTableFieldId="27" dataDxfId="5">
      <calculatedColumnFormula>salarydata[[#This Row],[- Gross Salary]]-salarydata[[#This Row],[-Total DEDUCTION.]]</calculatedColumnFormula>
    </tableColumn>
    <tableColumn id="19" xr3:uid="{E2047A1F-E821-4390-A54C-4F8FB8C3D629}" uniqueName="19" name="employee tenure" queryTableFieldId="28" dataDxfId="0">
      <calculatedColumnFormula>DATEDIF(salarydata[[#This Row],[Hire Date]], TODAY(), "Y")</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6F73245-0F0C-4A3B-9CAF-C9AB032C8FC6}" name="Table46" displayName="Table46" ref="AB1:AC9" totalsRowShown="0">
  <autoFilter ref="AB1:AC9" xr:uid="{46F73245-0F0C-4A3B-9CAF-C9AB032C8FC6}"/>
  <tableColumns count="2">
    <tableColumn id="1" xr3:uid="{E84A1D87-C17A-423B-A17B-1D6908518397}" name="employe benefits" dataDxfId="4"/>
    <tableColumn id="2" xr3:uid="{E1A41824-1C58-4FF1-9B68-C5E806ED8244}" name="Column1" dataDxfId="3"/>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48D4FB6-B0D9-429B-96A7-9D03D59F7056}" name="Table4" displayName="Table4" ref="A1:B9" totalsRowShown="0">
  <autoFilter ref="A1:B9" xr:uid="{448D4FB6-B0D9-429B-96A7-9D03D59F7056}"/>
  <tableColumns count="2">
    <tableColumn id="1" xr3:uid="{0D60CDB8-A20B-4105-8768-EA6024F298B1}" name="employe benefits" dataDxfId="2"/>
    <tableColumn id="2" xr3:uid="{A069B700-A66C-4D4C-B58D-7092F782F6E5}" name="Column1"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7.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0B06A-4EF8-42E9-B8A8-7988C2E97D48}">
  <dimension ref="A1:L51"/>
  <sheetViews>
    <sheetView zoomScale="165" zoomScaleNormal="165" workbookViewId="0">
      <selection activeCell="E11" sqref="E11"/>
    </sheetView>
  </sheetViews>
  <sheetFormatPr defaultRowHeight="14.4" x14ac:dyDescent="0.3"/>
  <cols>
    <col min="1" max="1" width="11.21875" bestFit="1" customWidth="1"/>
    <col min="8" max="8" width="10.5546875" customWidth="1"/>
    <col min="9" max="9" width="13.33203125" bestFit="1"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E2" t="s">
        <v>16</v>
      </c>
      <c r="F2">
        <v>29</v>
      </c>
      <c r="G2" t="s">
        <v>17</v>
      </c>
      <c r="H2" t="s">
        <v>18</v>
      </c>
      <c r="I2">
        <v>8000000001</v>
      </c>
      <c r="J2">
        <v>450000</v>
      </c>
      <c r="K2">
        <v>1</v>
      </c>
      <c r="L2" t="s">
        <v>19</v>
      </c>
    </row>
    <row r="3" spans="1:12" x14ac:dyDescent="0.3">
      <c r="A3" t="s">
        <v>20</v>
      </c>
      <c r="B3" t="s">
        <v>21</v>
      </c>
      <c r="C3" t="s">
        <v>22</v>
      </c>
      <c r="D3" t="s">
        <v>23</v>
      </c>
      <c r="E3" t="s">
        <v>24</v>
      </c>
      <c r="F3">
        <v>34</v>
      </c>
      <c r="G3" t="s">
        <v>25</v>
      </c>
      <c r="H3" s="1">
        <v>43746</v>
      </c>
      <c r="I3">
        <v>8000000002</v>
      </c>
      <c r="J3">
        <v>320000</v>
      </c>
      <c r="K3">
        <v>2</v>
      </c>
      <c r="L3" t="s">
        <v>26</v>
      </c>
    </row>
    <row r="4" spans="1:12" x14ac:dyDescent="0.3">
      <c r="A4" t="s">
        <v>27</v>
      </c>
      <c r="B4" t="s">
        <v>28</v>
      </c>
      <c r="C4" t="s">
        <v>29</v>
      </c>
      <c r="D4" t="s">
        <v>30</v>
      </c>
      <c r="E4" t="s">
        <v>16</v>
      </c>
      <c r="F4">
        <v>41</v>
      </c>
      <c r="G4" t="s">
        <v>31</v>
      </c>
      <c r="H4" t="s">
        <v>32</v>
      </c>
      <c r="I4">
        <v>8000000003</v>
      </c>
      <c r="J4">
        <v>280000</v>
      </c>
      <c r="K4">
        <v>3</v>
      </c>
      <c r="L4" t="s">
        <v>33</v>
      </c>
    </row>
    <row r="5" spans="1:12" x14ac:dyDescent="0.3">
      <c r="A5" t="s">
        <v>34</v>
      </c>
      <c r="B5" t="s">
        <v>35</v>
      </c>
      <c r="C5" t="s">
        <v>36</v>
      </c>
      <c r="D5" t="s">
        <v>37</v>
      </c>
      <c r="E5" t="s">
        <v>24</v>
      </c>
      <c r="F5">
        <v>31</v>
      </c>
      <c r="G5" t="s">
        <v>38</v>
      </c>
      <c r="H5" s="1">
        <v>44687</v>
      </c>
      <c r="I5">
        <v>8000000004</v>
      </c>
      <c r="J5">
        <v>380000</v>
      </c>
      <c r="K5">
        <v>4</v>
      </c>
      <c r="L5" t="s">
        <v>39</v>
      </c>
    </row>
    <row r="6" spans="1:12" x14ac:dyDescent="0.3">
      <c r="A6" t="s">
        <v>40</v>
      </c>
      <c r="B6" t="s">
        <v>41</v>
      </c>
      <c r="C6" t="s">
        <v>42</v>
      </c>
      <c r="D6" t="s">
        <v>43</v>
      </c>
      <c r="E6" t="s">
        <v>16</v>
      </c>
      <c r="F6">
        <v>27</v>
      </c>
      <c r="G6" t="s">
        <v>44</v>
      </c>
      <c r="H6" t="s">
        <v>45</v>
      </c>
      <c r="I6">
        <v>8000000005</v>
      </c>
      <c r="J6">
        <v>300000</v>
      </c>
      <c r="K6">
        <v>5</v>
      </c>
      <c r="L6" t="s">
        <v>46</v>
      </c>
    </row>
    <row r="7" spans="1:12" x14ac:dyDescent="0.3">
      <c r="A7" t="s">
        <v>47</v>
      </c>
      <c r="B7" t="s">
        <v>48</v>
      </c>
      <c r="C7" t="s">
        <v>49</v>
      </c>
      <c r="D7" t="s">
        <v>50</v>
      </c>
      <c r="E7" t="s">
        <v>24</v>
      </c>
      <c r="F7">
        <v>26</v>
      </c>
      <c r="G7" t="s">
        <v>51</v>
      </c>
      <c r="H7" s="1">
        <v>45353</v>
      </c>
      <c r="I7">
        <v>8000000006</v>
      </c>
      <c r="J7">
        <v>250000</v>
      </c>
      <c r="K7">
        <v>6</v>
      </c>
      <c r="L7" t="s">
        <v>52</v>
      </c>
    </row>
    <row r="8" spans="1:12" x14ac:dyDescent="0.3">
      <c r="A8" t="s">
        <v>53</v>
      </c>
      <c r="B8" t="s">
        <v>54</v>
      </c>
      <c r="C8" t="s">
        <v>55</v>
      </c>
      <c r="D8" t="s">
        <v>56</v>
      </c>
      <c r="E8" t="s">
        <v>16</v>
      </c>
      <c r="F8">
        <v>35</v>
      </c>
      <c r="G8" t="s">
        <v>57</v>
      </c>
      <c r="H8" t="s">
        <v>58</v>
      </c>
      <c r="I8">
        <v>8000000007</v>
      </c>
      <c r="J8">
        <v>350000</v>
      </c>
      <c r="K8">
        <v>7</v>
      </c>
      <c r="L8" t="s">
        <v>19</v>
      </c>
    </row>
    <row r="9" spans="1:12" x14ac:dyDescent="0.3">
      <c r="A9" t="s">
        <v>59</v>
      </c>
      <c r="B9" t="s">
        <v>60</v>
      </c>
      <c r="C9" t="s">
        <v>61</v>
      </c>
      <c r="D9" t="s">
        <v>62</v>
      </c>
      <c r="E9" t="s">
        <v>24</v>
      </c>
      <c r="F9">
        <v>38</v>
      </c>
      <c r="G9" t="s">
        <v>17</v>
      </c>
      <c r="H9" s="1">
        <v>42920</v>
      </c>
      <c r="I9">
        <v>8000000008</v>
      </c>
      <c r="J9">
        <v>180000</v>
      </c>
      <c r="K9">
        <v>8</v>
      </c>
      <c r="L9" t="s">
        <v>33</v>
      </c>
    </row>
    <row r="10" spans="1:12" x14ac:dyDescent="0.3">
      <c r="A10" t="s">
        <v>63</v>
      </c>
      <c r="B10" t="s">
        <v>64</v>
      </c>
      <c r="C10" t="s">
        <v>65</v>
      </c>
      <c r="D10" t="s">
        <v>15</v>
      </c>
      <c r="E10" t="s">
        <v>16</v>
      </c>
      <c r="F10">
        <v>33</v>
      </c>
      <c r="G10" t="s">
        <v>66</v>
      </c>
      <c r="H10" s="1">
        <v>44166</v>
      </c>
      <c r="I10">
        <v>8000000009</v>
      </c>
      <c r="J10">
        <v>500000</v>
      </c>
      <c r="K10">
        <v>9</v>
      </c>
      <c r="L10" t="s">
        <v>26</v>
      </c>
    </row>
    <row r="11" spans="1:12" x14ac:dyDescent="0.3">
      <c r="A11" t="s">
        <v>67</v>
      </c>
      <c r="B11" t="s">
        <v>68</v>
      </c>
      <c r="C11" t="s">
        <v>69</v>
      </c>
      <c r="D11" t="s">
        <v>23</v>
      </c>
      <c r="E11" t="s">
        <v>24</v>
      </c>
      <c r="F11">
        <v>30</v>
      </c>
      <c r="G11" t="s">
        <v>70</v>
      </c>
      <c r="H11" t="s">
        <v>71</v>
      </c>
      <c r="I11">
        <v>8000000010</v>
      </c>
      <c r="J11">
        <v>340000</v>
      </c>
      <c r="K11">
        <v>10</v>
      </c>
      <c r="L11" t="s">
        <v>39</v>
      </c>
    </row>
    <row r="12" spans="1:12" x14ac:dyDescent="0.3">
      <c r="A12" t="s">
        <v>72</v>
      </c>
      <c r="B12" t="s">
        <v>73</v>
      </c>
      <c r="C12" t="s">
        <v>74</v>
      </c>
      <c r="D12" t="s">
        <v>37</v>
      </c>
      <c r="E12" t="s">
        <v>16</v>
      </c>
      <c r="F12">
        <v>42</v>
      </c>
      <c r="G12" t="s">
        <v>25</v>
      </c>
      <c r="H12" t="s">
        <v>75</v>
      </c>
      <c r="I12">
        <v>8000000011</v>
      </c>
      <c r="J12">
        <v>420000</v>
      </c>
      <c r="K12">
        <v>11</v>
      </c>
      <c r="L12" t="s">
        <v>46</v>
      </c>
    </row>
    <row r="13" spans="1:12" x14ac:dyDescent="0.3">
      <c r="A13" t="s">
        <v>76</v>
      </c>
      <c r="B13" t="s">
        <v>77</v>
      </c>
      <c r="C13" t="s">
        <v>78</v>
      </c>
      <c r="D13" t="s">
        <v>43</v>
      </c>
      <c r="E13" t="s">
        <v>24</v>
      </c>
      <c r="F13">
        <v>28</v>
      </c>
      <c r="G13" t="s">
        <v>79</v>
      </c>
      <c r="H13" t="s">
        <v>80</v>
      </c>
      <c r="I13">
        <v>8000000012</v>
      </c>
      <c r="J13">
        <v>310000</v>
      </c>
      <c r="K13">
        <v>12</v>
      </c>
      <c r="L13" t="s">
        <v>19</v>
      </c>
    </row>
    <row r="14" spans="1:12" x14ac:dyDescent="0.3">
      <c r="A14" t="s">
        <v>81</v>
      </c>
      <c r="B14" t="s">
        <v>82</v>
      </c>
      <c r="C14" t="s">
        <v>83</v>
      </c>
      <c r="D14" t="s">
        <v>50</v>
      </c>
      <c r="E14" t="s">
        <v>16</v>
      </c>
      <c r="F14">
        <v>32</v>
      </c>
      <c r="G14" t="s">
        <v>44</v>
      </c>
      <c r="H14" s="1">
        <v>44503</v>
      </c>
      <c r="I14">
        <v>8000000013</v>
      </c>
      <c r="J14">
        <v>270000</v>
      </c>
      <c r="K14">
        <v>13</v>
      </c>
      <c r="L14" t="s">
        <v>26</v>
      </c>
    </row>
    <row r="15" spans="1:12" x14ac:dyDescent="0.3">
      <c r="A15" t="s">
        <v>84</v>
      </c>
      <c r="B15" t="s">
        <v>85</v>
      </c>
      <c r="C15" t="s">
        <v>86</v>
      </c>
      <c r="D15" t="s">
        <v>56</v>
      </c>
      <c r="E15" t="s">
        <v>24</v>
      </c>
      <c r="F15">
        <v>29</v>
      </c>
      <c r="G15" t="s">
        <v>31</v>
      </c>
      <c r="H15" s="1">
        <v>44785</v>
      </c>
      <c r="I15">
        <v>8000000014</v>
      </c>
      <c r="J15">
        <v>330000</v>
      </c>
      <c r="K15">
        <v>14</v>
      </c>
      <c r="L15" t="s">
        <v>33</v>
      </c>
    </row>
    <row r="16" spans="1:12" x14ac:dyDescent="0.3">
      <c r="A16" t="s">
        <v>87</v>
      </c>
      <c r="B16" t="s">
        <v>88</v>
      </c>
      <c r="C16" t="s">
        <v>89</v>
      </c>
      <c r="D16" t="s">
        <v>30</v>
      </c>
      <c r="E16" t="s">
        <v>16</v>
      </c>
      <c r="F16">
        <v>45</v>
      </c>
      <c r="G16" t="s">
        <v>51</v>
      </c>
      <c r="H16" t="s">
        <v>90</v>
      </c>
      <c r="I16">
        <v>8000000015</v>
      </c>
      <c r="J16">
        <v>300000</v>
      </c>
      <c r="K16">
        <v>15</v>
      </c>
      <c r="L16" t="s">
        <v>39</v>
      </c>
    </row>
    <row r="17" spans="1:12" x14ac:dyDescent="0.3">
      <c r="A17" t="s">
        <v>91</v>
      </c>
      <c r="B17" t="s">
        <v>92</v>
      </c>
      <c r="C17" t="s">
        <v>13</v>
      </c>
      <c r="D17" t="s">
        <v>62</v>
      </c>
      <c r="E17" t="s">
        <v>24</v>
      </c>
      <c r="F17">
        <v>36</v>
      </c>
      <c r="G17" t="s">
        <v>93</v>
      </c>
      <c r="H17" t="s">
        <v>94</v>
      </c>
      <c r="I17">
        <v>8000000016</v>
      </c>
      <c r="J17">
        <v>190000</v>
      </c>
      <c r="K17">
        <v>16</v>
      </c>
      <c r="L17" t="s">
        <v>52</v>
      </c>
    </row>
    <row r="18" spans="1:12" x14ac:dyDescent="0.3">
      <c r="A18" t="s">
        <v>95</v>
      </c>
      <c r="B18" t="s">
        <v>96</v>
      </c>
      <c r="C18" t="s">
        <v>97</v>
      </c>
      <c r="D18" t="s">
        <v>15</v>
      </c>
      <c r="E18" t="s">
        <v>16</v>
      </c>
      <c r="F18">
        <v>37</v>
      </c>
      <c r="G18" t="s">
        <v>31</v>
      </c>
      <c r="H18" s="1">
        <v>43557</v>
      </c>
      <c r="I18">
        <v>8000000017</v>
      </c>
      <c r="J18">
        <v>550000</v>
      </c>
      <c r="K18">
        <v>17</v>
      </c>
      <c r="L18" t="s">
        <v>46</v>
      </c>
    </row>
    <row r="19" spans="1:12" x14ac:dyDescent="0.3">
      <c r="A19" t="s">
        <v>98</v>
      </c>
      <c r="B19" t="s">
        <v>99</v>
      </c>
      <c r="C19" t="s">
        <v>100</v>
      </c>
      <c r="D19" t="s">
        <v>23</v>
      </c>
      <c r="E19" t="s">
        <v>24</v>
      </c>
      <c r="F19">
        <v>39</v>
      </c>
      <c r="G19" t="s">
        <v>17</v>
      </c>
      <c r="H19" t="s">
        <v>101</v>
      </c>
      <c r="I19">
        <v>8000000018</v>
      </c>
      <c r="J19">
        <v>360000</v>
      </c>
      <c r="K19">
        <v>18</v>
      </c>
      <c r="L19" t="s">
        <v>19</v>
      </c>
    </row>
    <row r="20" spans="1:12" x14ac:dyDescent="0.3">
      <c r="A20" t="s">
        <v>102</v>
      </c>
      <c r="B20" t="s">
        <v>103</v>
      </c>
      <c r="C20" t="s">
        <v>104</v>
      </c>
      <c r="D20" t="s">
        <v>37</v>
      </c>
      <c r="E20" t="s">
        <v>16</v>
      </c>
      <c r="F20">
        <v>29</v>
      </c>
      <c r="G20" t="s">
        <v>105</v>
      </c>
      <c r="H20" t="s">
        <v>106</v>
      </c>
      <c r="I20">
        <v>8000000019</v>
      </c>
      <c r="J20">
        <v>390000</v>
      </c>
      <c r="K20">
        <v>19</v>
      </c>
      <c r="L20" t="s">
        <v>26</v>
      </c>
    </row>
    <row r="21" spans="1:12" x14ac:dyDescent="0.3">
      <c r="A21" t="s">
        <v>107</v>
      </c>
      <c r="B21" t="s">
        <v>108</v>
      </c>
      <c r="C21" t="s">
        <v>109</v>
      </c>
      <c r="D21" t="s">
        <v>43</v>
      </c>
      <c r="E21" t="s">
        <v>24</v>
      </c>
      <c r="F21">
        <v>33</v>
      </c>
      <c r="G21" t="s">
        <v>66</v>
      </c>
      <c r="H21" s="1">
        <v>44079</v>
      </c>
      <c r="I21">
        <v>8000000020</v>
      </c>
      <c r="J21">
        <v>325000</v>
      </c>
      <c r="K21">
        <v>20</v>
      </c>
      <c r="L21" t="s">
        <v>39</v>
      </c>
    </row>
    <row r="22" spans="1:12" x14ac:dyDescent="0.3">
      <c r="A22" t="s">
        <v>110</v>
      </c>
      <c r="B22" t="s">
        <v>111</v>
      </c>
      <c r="C22" t="s">
        <v>112</v>
      </c>
      <c r="D22" t="s">
        <v>50</v>
      </c>
      <c r="E22" t="s">
        <v>16</v>
      </c>
      <c r="F22">
        <v>31</v>
      </c>
      <c r="G22" t="s">
        <v>25</v>
      </c>
      <c r="H22" t="s">
        <v>113</v>
      </c>
      <c r="I22">
        <v>8000000021</v>
      </c>
      <c r="J22">
        <v>285000</v>
      </c>
      <c r="K22">
        <v>21</v>
      </c>
      <c r="L22" t="s">
        <v>33</v>
      </c>
    </row>
    <row r="23" spans="1:12" x14ac:dyDescent="0.3">
      <c r="A23" t="s">
        <v>114</v>
      </c>
      <c r="B23" t="s">
        <v>115</v>
      </c>
      <c r="C23" t="s">
        <v>29</v>
      </c>
      <c r="D23" t="s">
        <v>56</v>
      </c>
      <c r="E23" t="s">
        <v>24</v>
      </c>
      <c r="F23">
        <v>27</v>
      </c>
      <c r="G23" t="s">
        <v>57</v>
      </c>
      <c r="H23" s="1">
        <v>45446</v>
      </c>
      <c r="I23">
        <v>8000000022</v>
      </c>
      <c r="J23">
        <v>310000</v>
      </c>
      <c r="K23">
        <v>22</v>
      </c>
      <c r="L23" t="s">
        <v>46</v>
      </c>
    </row>
    <row r="24" spans="1:12" x14ac:dyDescent="0.3">
      <c r="A24" t="s">
        <v>116</v>
      </c>
      <c r="B24" t="s">
        <v>117</v>
      </c>
      <c r="C24" t="s">
        <v>118</v>
      </c>
      <c r="D24" t="s">
        <v>30</v>
      </c>
      <c r="E24" t="s">
        <v>16</v>
      </c>
      <c r="F24">
        <v>40</v>
      </c>
      <c r="G24" t="s">
        <v>119</v>
      </c>
      <c r="H24" s="1">
        <v>43441</v>
      </c>
      <c r="I24">
        <v>8000000023</v>
      </c>
      <c r="J24">
        <v>290000</v>
      </c>
      <c r="K24">
        <v>23</v>
      </c>
      <c r="L24" t="s">
        <v>19</v>
      </c>
    </row>
    <row r="25" spans="1:12" x14ac:dyDescent="0.3">
      <c r="A25" t="s">
        <v>120</v>
      </c>
      <c r="B25" t="s">
        <v>121</v>
      </c>
      <c r="C25" t="s">
        <v>122</v>
      </c>
      <c r="D25" t="s">
        <v>62</v>
      </c>
      <c r="E25" t="s">
        <v>24</v>
      </c>
      <c r="F25">
        <v>44</v>
      </c>
      <c r="G25" t="s">
        <v>123</v>
      </c>
      <c r="H25" t="s">
        <v>124</v>
      </c>
      <c r="I25">
        <v>8000000024</v>
      </c>
      <c r="J25">
        <v>200000</v>
      </c>
      <c r="K25">
        <v>24</v>
      </c>
      <c r="L25" t="s">
        <v>26</v>
      </c>
    </row>
    <row r="26" spans="1:12" x14ac:dyDescent="0.3">
      <c r="A26" t="s">
        <v>125</v>
      </c>
      <c r="B26" t="s">
        <v>126</v>
      </c>
      <c r="C26" t="s">
        <v>127</v>
      </c>
      <c r="D26" t="s">
        <v>15</v>
      </c>
      <c r="E26" t="s">
        <v>16</v>
      </c>
      <c r="F26">
        <v>30</v>
      </c>
      <c r="G26" t="s">
        <v>79</v>
      </c>
      <c r="H26" t="s">
        <v>128</v>
      </c>
      <c r="I26">
        <v>8000000025</v>
      </c>
      <c r="J26">
        <v>480000</v>
      </c>
      <c r="K26">
        <v>25</v>
      </c>
      <c r="L26" t="s">
        <v>39</v>
      </c>
    </row>
    <row r="27" spans="1:12" x14ac:dyDescent="0.3">
      <c r="A27" t="s">
        <v>129</v>
      </c>
      <c r="B27" t="s">
        <v>130</v>
      </c>
      <c r="C27" t="s">
        <v>49</v>
      </c>
      <c r="D27" t="s">
        <v>23</v>
      </c>
      <c r="E27" t="s">
        <v>24</v>
      </c>
      <c r="F27">
        <v>35</v>
      </c>
      <c r="G27" t="s">
        <v>51</v>
      </c>
      <c r="H27" t="s">
        <v>131</v>
      </c>
      <c r="I27">
        <v>8000000026</v>
      </c>
      <c r="J27">
        <v>370000</v>
      </c>
      <c r="K27">
        <v>26</v>
      </c>
      <c r="L27" t="s">
        <v>52</v>
      </c>
    </row>
    <row r="28" spans="1:12" x14ac:dyDescent="0.3">
      <c r="A28" t="s">
        <v>132</v>
      </c>
      <c r="B28" t="s">
        <v>133</v>
      </c>
      <c r="C28" t="s">
        <v>134</v>
      </c>
      <c r="D28" t="s">
        <v>37</v>
      </c>
      <c r="E28" t="s">
        <v>16</v>
      </c>
      <c r="F28">
        <v>28</v>
      </c>
      <c r="G28" t="s">
        <v>38</v>
      </c>
      <c r="H28" t="s">
        <v>135</v>
      </c>
      <c r="I28">
        <v>8000000027</v>
      </c>
      <c r="J28">
        <v>400000</v>
      </c>
      <c r="K28">
        <v>27</v>
      </c>
      <c r="L28" t="s">
        <v>46</v>
      </c>
    </row>
    <row r="29" spans="1:12" x14ac:dyDescent="0.3">
      <c r="A29" t="s">
        <v>136</v>
      </c>
      <c r="B29" t="s">
        <v>137</v>
      </c>
      <c r="C29" t="s">
        <v>138</v>
      </c>
      <c r="D29" t="s">
        <v>43</v>
      </c>
      <c r="E29" t="s">
        <v>24</v>
      </c>
      <c r="F29">
        <v>32</v>
      </c>
      <c r="G29" t="s">
        <v>17</v>
      </c>
      <c r="H29" s="1">
        <v>44440</v>
      </c>
      <c r="I29">
        <v>8000000028</v>
      </c>
      <c r="J29">
        <v>315000</v>
      </c>
      <c r="K29">
        <v>28</v>
      </c>
      <c r="L29" t="s">
        <v>19</v>
      </c>
    </row>
    <row r="30" spans="1:12" x14ac:dyDescent="0.3">
      <c r="A30" t="s">
        <v>139</v>
      </c>
      <c r="B30" t="s">
        <v>140</v>
      </c>
      <c r="C30" t="s">
        <v>141</v>
      </c>
      <c r="D30" t="s">
        <v>50</v>
      </c>
      <c r="E30" t="s">
        <v>16</v>
      </c>
      <c r="F30">
        <v>26</v>
      </c>
      <c r="G30" t="s">
        <v>142</v>
      </c>
      <c r="H30" t="s">
        <v>143</v>
      </c>
      <c r="I30">
        <v>8000000029</v>
      </c>
      <c r="J30">
        <v>260000</v>
      </c>
      <c r="K30">
        <v>29</v>
      </c>
      <c r="L30" t="s">
        <v>26</v>
      </c>
    </row>
    <row r="31" spans="1:12" x14ac:dyDescent="0.3">
      <c r="A31" t="s">
        <v>144</v>
      </c>
      <c r="B31" t="s">
        <v>145</v>
      </c>
      <c r="C31" t="s">
        <v>146</v>
      </c>
      <c r="D31" t="s">
        <v>56</v>
      </c>
      <c r="E31" t="s">
        <v>24</v>
      </c>
      <c r="F31">
        <v>37</v>
      </c>
      <c r="G31" t="s">
        <v>31</v>
      </c>
      <c r="H31" s="1">
        <v>43230</v>
      </c>
      <c r="I31">
        <v>8000000030</v>
      </c>
      <c r="J31">
        <v>345000</v>
      </c>
      <c r="K31">
        <v>30</v>
      </c>
      <c r="L31" t="s">
        <v>33</v>
      </c>
    </row>
    <row r="32" spans="1:12" x14ac:dyDescent="0.3">
      <c r="A32" t="s">
        <v>147</v>
      </c>
      <c r="B32" t="s">
        <v>148</v>
      </c>
      <c r="C32" t="s">
        <v>22</v>
      </c>
      <c r="D32" t="s">
        <v>30</v>
      </c>
      <c r="E32" t="s">
        <v>16</v>
      </c>
      <c r="F32">
        <v>39</v>
      </c>
      <c r="G32" t="s">
        <v>44</v>
      </c>
      <c r="H32" s="1">
        <v>44137</v>
      </c>
      <c r="I32">
        <v>8000000031</v>
      </c>
      <c r="J32">
        <v>305000</v>
      </c>
      <c r="K32">
        <v>31</v>
      </c>
      <c r="L32" t="s">
        <v>39</v>
      </c>
    </row>
    <row r="33" spans="1:12" x14ac:dyDescent="0.3">
      <c r="A33" t="s">
        <v>149</v>
      </c>
      <c r="B33" t="s">
        <v>150</v>
      </c>
      <c r="C33" t="s">
        <v>41</v>
      </c>
      <c r="D33" t="s">
        <v>62</v>
      </c>
      <c r="E33" t="s">
        <v>24</v>
      </c>
      <c r="F33">
        <v>30</v>
      </c>
      <c r="G33" t="s">
        <v>151</v>
      </c>
      <c r="H33" t="s">
        <v>152</v>
      </c>
      <c r="I33">
        <v>8000000032</v>
      </c>
      <c r="J33">
        <v>185000</v>
      </c>
      <c r="K33">
        <v>32</v>
      </c>
      <c r="L33" t="s">
        <v>52</v>
      </c>
    </row>
    <row r="34" spans="1:12" x14ac:dyDescent="0.3">
      <c r="A34" t="s">
        <v>153</v>
      </c>
      <c r="B34" t="s">
        <v>154</v>
      </c>
      <c r="C34" t="s">
        <v>89</v>
      </c>
      <c r="D34" t="s">
        <v>15</v>
      </c>
      <c r="E34" t="s">
        <v>16</v>
      </c>
      <c r="F34">
        <v>43</v>
      </c>
      <c r="G34" t="s">
        <v>25</v>
      </c>
      <c r="H34" t="s">
        <v>155</v>
      </c>
      <c r="I34">
        <v>8000000033</v>
      </c>
      <c r="J34">
        <v>600000</v>
      </c>
      <c r="K34">
        <v>33</v>
      </c>
      <c r="L34" t="s">
        <v>46</v>
      </c>
    </row>
    <row r="35" spans="1:12" x14ac:dyDescent="0.3">
      <c r="A35" t="s">
        <v>156</v>
      </c>
      <c r="B35" t="s">
        <v>157</v>
      </c>
      <c r="C35" t="s">
        <v>97</v>
      </c>
      <c r="D35" t="s">
        <v>23</v>
      </c>
      <c r="E35" t="s">
        <v>24</v>
      </c>
      <c r="F35">
        <v>28</v>
      </c>
      <c r="G35" t="s">
        <v>57</v>
      </c>
      <c r="H35" s="1">
        <v>44988</v>
      </c>
      <c r="I35">
        <v>8000000034</v>
      </c>
      <c r="J35">
        <v>350000</v>
      </c>
      <c r="K35">
        <v>34</v>
      </c>
      <c r="L35" t="s">
        <v>19</v>
      </c>
    </row>
    <row r="36" spans="1:12" x14ac:dyDescent="0.3">
      <c r="A36" t="s">
        <v>158</v>
      </c>
      <c r="B36" t="s">
        <v>159</v>
      </c>
      <c r="C36" t="s">
        <v>86</v>
      </c>
      <c r="D36" t="s">
        <v>37</v>
      </c>
      <c r="E36" t="s">
        <v>16</v>
      </c>
      <c r="F36">
        <v>36</v>
      </c>
      <c r="G36" t="s">
        <v>31</v>
      </c>
      <c r="H36" t="s">
        <v>160</v>
      </c>
      <c r="I36">
        <v>8000000035</v>
      </c>
      <c r="J36">
        <v>435000</v>
      </c>
      <c r="K36">
        <v>35</v>
      </c>
      <c r="L36" t="s">
        <v>26</v>
      </c>
    </row>
    <row r="37" spans="1:12" x14ac:dyDescent="0.3">
      <c r="A37" t="s">
        <v>161</v>
      </c>
      <c r="B37" t="s">
        <v>162</v>
      </c>
      <c r="C37" t="s">
        <v>163</v>
      </c>
      <c r="D37" t="s">
        <v>43</v>
      </c>
      <c r="E37" t="s">
        <v>24</v>
      </c>
      <c r="F37">
        <v>41</v>
      </c>
      <c r="G37" t="s">
        <v>38</v>
      </c>
      <c r="H37" t="s">
        <v>164</v>
      </c>
      <c r="I37">
        <v>8000000036</v>
      </c>
      <c r="J37">
        <v>340000</v>
      </c>
      <c r="K37">
        <v>36</v>
      </c>
      <c r="L37" t="s">
        <v>33</v>
      </c>
    </row>
    <row r="38" spans="1:12" x14ac:dyDescent="0.3">
      <c r="A38" t="s">
        <v>165</v>
      </c>
      <c r="B38" t="s">
        <v>166</v>
      </c>
      <c r="C38" t="s">
        <v>49</v>
      </c>
      <c r="D38" t="s">
        <v>50</v>
      </c>
      <c r="E38" t="s">
        <v>16</v>
      </c>
      <c r="F38">
        <v>34</v>
      </c>
      <c r="G38" t="s">
        <v>105</v>
      </c>
      <c r="H38" s="1">
        <v>44110</v>
      </c>
      <c r="I38">
        <v>8000000037</v>
      </c>
      <c r="J38">
        <v>295000</v>
      </c>
      <c r="K38">
        <v>37</v>
      </c>
      <c r="L38" t="s">
        <v>39</v>
      </c>
    </row>
    <row r="39" spans="1:12" x14ac:dyDescent="0.3">
      <c r="A39" t="s">
        <v>167</v>
      </c>
      <c r="B39" t="s">
        <v>168</v>
      </c>
      <c r="C39" t="s">
        <v>55</v>
      </c>
      <c r="D39" t="s">
        <v>56</v>
      </c>
      <c r="E39" t="s">
        <v>24</v>
      </c>
      <c r="F39">
        <v>31</v>
      </c>
      <c r="G39" t="s">
        <v>57</v>
      </c>
      <c r="H39" t="s">
        <v>169</v>
      </c>
      <c r="I39">
        <v>8000000038</v>
      </c>
      <c r="J39">
        <v>360000</v>
      </c>
      <c r="K39">
        <v>38</v>
      </c>
      <c r="L39" t="s">
        <v>46</v>
      </c>
    </row>
    <row r="40" spans="1:12" x14ac:dyDescent="0.3">
      <c r="A40" t="s">
        <v>170</v>
      </c>
      <c r="B40" t="s">
        <v>171</v>
      </c>
      <c r="C40" t="s">
        <v>61</v>
      </c>
      <c r="D40" t="s">
        <v>30</v>
      </c>
      <c r="E40" t="s">
        <v>16</v>
      </c>
      <c r="F40">
        <v>46</v>
      </c>
      <c r="G40" t="s">
        <v>17</v>
      </c>
      <c r="H40" s="1">
        <v>42189</v>
      </c>
      <c r="I40">
        <v>8000000039</v>
      </c>
      <c r="J40">
        <v>315000</v>
      </c>
      <c r="K40">
        <v>39</v>
      </c>
      <c r="L40" t="s">
        <v>19</v>
      </c>
    </row>
    <row r="41" spans="1:12" x14ac:dyDescent="0.3">
      <c r="A41" t="s">
        <v>172</v>
      </c>
      <c r="B41" t="s">
        <v>173</v>
      </c>
      <c r="C41" t="s">
        <v>112</v>
      </c>
      <c r="D41" t="s">
        <v>62</v>
      </c>
      <c r="E41" t="s">
        <v>24</v>
      </c>
      <c r="F41">
        <v>42</v>
      </c>
      <c r="G41" t="s">
        <v>25</v>
      </c>
      <c r="H41" t="s">
        <v>174</v>
      </c>
      <c r="I41">
        <v>8000000040</v>
      </c>
      <c r="J41">
        <v>210000</v>
      </c>
      <c r="K41">
        <v>40</v>
      </c>
      <c r="L41" t="s">
        <v>26</v>
      </c>
    </row>
    <row r="42" spans="1:12" x14ac:dyDescent="0.3">
      <c r="A42" t="s">
        <v>175</v>
      </c>
      <c r="B42" t="s">
        <v>176</v>
      </c>
      <c r="C42" t="s">
        <v>100</v>
      </c>
      <c r="D42" t="s">
        <v>15</v>
      </c>
      <c r="E42" t="s">
        <v>16</v>
      </c>
      <c r="F42">
        <v>32</v>
      </c>
      <c r="G42" t="s">
        <v>66</v>
      </c>
      <c r="H42" s="1">
        <v>44232</v>
      </c>
      <c r="I42">
        <v>8000000041</v>
      </c>
      <c r="J42">
        <v>525000</v>
      </c>
      <c r="K42">
        <v>41</v>
      </c>
      <c r="L42" t="s">
        <v>33</v>
      </c>
    </row>
    <row r="43" spans="1:12" x14ac:dyDescent="0.3">
      <c r="A43" t="s">
        <v>177</v>
      </c>
      <c r="B43" t="s">
        <v>178</v>
      </c>
      <c r="C43" t="s">
        <v>78</v>
      </c>
      <c r="D43" t="s">
        <v>23</v>
      </c>
      <c r="E43" t="s">
        <v>24</v>
      </c>
      <c r="F43">
        <v>40</v>
      </c>
      <c r="G43" t="s">
        <v>79</v>
      </c>
      <c r="H43" t="s">
        <v>179</v>
      </c>
      <c r="I43">
        <v>8000000042</v>
      </c>
      <c r="J43">
        <v>380000</v>
      </c>
      <c r="K43">
        <v>42</v>
      </c>
      <c r="L43" t="s">
        <v>39</v>
      </c>
    </row>
    <row r="44" spans="1:12" x14ac:dyDescent="0.3">
      <c r="A44" t="s">
        <v>180</v>
      </c>
      <c r="B44" t="s">
        <v>88</v>
      </c>
      <c r="C44" t="s">
        <v>109</v>
      </c>
      <c r="D44" t="s">
        <v>37</v>
      </c>
      <c r="E44" t="s">
        <v>16</v>
      </c>
      <c r="F44">
        <v>33</v>
      </c>
      <c r="G44" t="s">
        <v>17</v>
      </c>
      <c r="H44" s="1">
        <v>44896</v>
      </c>
      <c r="I44">
        <v>8000000043</v>
      </c>
      <c r="J44">
        <v>410000</v>
      </c>
      <c r="K44">
        <v>43</v>
      </c>
      <c r="L44" t="s">
        <v>46</v>
      </c>
    </row>
    <row r="45" spans="1:12" x14ac:dyDescent="0.3">
      <c r="A45" t="s">
        <v>181</v>
      </c>
      <c r="B45" t="s">
        <v>182</v>
      </c>
      <c r="C45" t="s">
        <v>83</v>
      </c>
      <c r="D45" t="s">
        <v>43</v>
      </c>
      <c r="E45" t="s">
        <v>24</v>
      </c>
      <c r="F45">
        <v>29</v>
      </c>
      <c r="G45" t="s">
        <v>51</v>
      </c>
      <c r="H45" s="1">
        <v>45144</v>
      </c>
      <c r="I45">
        <v>8000000044</v>
      </c>
      <c r="J45">
        <v>325000</v>
      </c>
      <c r="K45">
        <v>44</v>
      </c>
      <c r="L45" t="s">
        <v>19</v>
      </c>
    </row>
    <row r="46" spans="1:12" x14ac:dyDescent="0.3">
      <c r="A46" t="s">
        <v>183</v>
      </c>
      <c r="B46" t="s">
        <v>184</v>
      </c>
      <c r="C46" t="s">
        <v>29</v>
      </c>
      <c r="D46" t="s">
        <v>50</v>
      </c>
      <c r="E46" t="s">
        <v>16</v>
      </c>
      <c r="F46">
        <v>38</v>
      </c>
      <c r="G46" t="s">
        <v>31</v>
      </c>
      <c r="H46" t="s">
        <v>185</v>
      </c>
      <c r="I46">
        <v>8000000045</v>
      </c>
      <c r="J46">
        <v>305000</v>
      </c>
      <c r="K46">
        <v>45</v>
      </c>
      <c r="L46" t="s">
        <v>26</v>
      </c>
    </row>
    <row r="47" spans="1:12" x14ac:dyDescent="0.3">
      <c r="A47" t="s">
        <v>186</v>
      </c>
      <c r="B47" t="s">
        <v>187</v>
      </c>
      <c r="C47" t="s">
        <v>36</v>
      </c>
      <c r="D47" t="s">
        <v>56</v>
      </c>
      <c r="E47" t="s">
        <v>24</v>
      </c>
      <c r="F47">
        <v>35</v>
      </c>
      <c r="G47" t="s">
        <v>38</v>
      </c>
      <c r="H47" t="s">
        <v>188</v>
      </c>
      <c r="I47">
        <v>8000000046</v>
      </c>
      <c r="J47">
        <v>375000</v>
      </c>
      <c r="K47">
        <v>46</v>
      </c>
      <c r="L47" t="s">
        <v>33</v>
      </c>
    </row>
    <row r="48" spans="1:12" x14ac:dyDescent="0.3">
      <c r="A48" t="s">
        <v>189</v>
      </c>
      <c r="B48" t="s">
        <v>127</v>
      </c>
      <c r="C48" t="s">
        <v>74</v>
      </c>
      <c r="D48" t="s">
        <v>30</v>
      </c>
      <c r="E48" t="s">
        <v>16</v>
      </c>
      <c r="F48">
        <v>43</v>
      </c>
      <c r="G48" t="s">
        <v>44</v>
      </c>
      <c r="H48" t="s">
        <v>190</v>
      </c>
      <c r="I48">
        <v>8000000047</v>
      </c>
      <c r="J48">
        <v>320000</v>
      </c>
      <c r="K48">
        <v>47</v>
      </c>
      <c r="L48" t="s">
        <v>39</v>
      </c>
    </row>
    <row r="49" spans="1:12" x14ac:dyDescent="0.3">
      <c r="A49" t="s">
        <v>191</v>
      </c>
      <c r="B49" t="s">
        <v>162</v>
      </c>
      <c r="C49" t="s">
        <v>13</v>
      </c>
      <c r="D49" t="s">
        <v>62</v>
      </c>
      <c r="E49" t="s">
        <v>24</v>
      </c>
      <c r="F49">
        <v>34</v>
      </c>
      <c r="G49" t="s">
        <v>93</v>
      </c>
      <c r="H49" s="1">
        <v>44354</v>
      </c>
      <c r="I49">
        <v>8000000048</v>
      </c>
      <c r="J49">
        <v>195000</v>
      </c>
      <c r="K49">
        <v>48</v>
      </c>
      <c r="L49" t="s">
        <v>52</v>
      </c>
    </row>
    <row r="50" spans="1:12" x14ac:dyDescent="0.3">
      <c r="A50" t="s">
        <v>192</v>
      </c>
      <c r="B50" t="s">
        <v>13</v>
      </c>
      <c r="C50" t="s">
        <v>29</v>
      </c>
      <c r="D50" t="s">
        <v>15</v>
      </c>
      <c r="E50" t="s">
        <v>16</v>
      </c>
      <c r="F50">
        <v>39</v>
      </c>
      <c r="G50" t="s">
        <v>70</v>
      </c>
      <c r="H50" t="s">
        <v>193</v>
      </c>
      <c r="I50">
        <v>8000000049</v>
      </c>
      <c r="J50">
        <v>575000</v>
      </c>
      <c r="K50">
        <v>49</v>
      </c>
      <c r="L50" t="s">
        <v>46</v>
      </c>
    </row>
    <row r="51" spans="1:12" x14ac:dyDescent="0.3">
      <c r="A51" t="s">
        <v>194</v>
      </c>
      <c r="B51" t="s">
        <v>195</v>
      </c>
      <c r="C51" t="s">
        <v>65</v>
      </c>
      <c r="D51" t="s">
        <v>23</v>
      </c>
      <c r="E51" t="s">
        <v>24</v>
      </c>
      <c r="F51">
        <v>36</v>
      </c>
      <c r="G51" t="s">
        <v>17</v>
      </c>
      <c r="H51" t="s">
        <v>196</v>
      </c>
      <c r="I51">
        <v>8000000050</v>
      </c>
      <c r="J51">
        <v>365000</v>
      </c>
      <c r="K51">
        <v>50</v>
      </c>
      <c r="L51" t="s">
        <v>19</v>
      </c>
    </row>
  </sheetData>
  <autoFilter ref="A1:L1" xr:uid="{29BF5F7C-369C-4070-80FD-9D53967671CB}"/>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50936-D698-4001-A1F5-857B6A4F9CA9}">
  <dimension ref="A3:B12"/>
  <sheetViews>
    <sheetView workbookViewId="0">
      <selection activeCell="K4" sqref="K4"/>
    </sheetView>
  </sheetViews>
  <sheetFormatPr defaultRowHeight="14.4" x14ac:dyDescent="0.3"/>
  <cols>
    <col min="1" max="1" width="15.21875" bestFit="1" customWidth="1"/>
    <col min="2" max="2" width="17.44140625" bestFit="1" customWidth="1"/>
  </cols>
  <sheetData>
    <row r="3" spans="1:2" x14ac:dyDescent="0.3">
      <c r="A3" s="4" t="s">
        <v>211</v>
      </c>
      <c r="B3" t="s">
        <v>213</v>
      </c>
    </row>
    <row r="4" spans="1:2" x14ac:dyDescent="0.3">
      <c r="A4" s="5" t="s">
        <v>15</v>
      </c>
      <c r="B4" s="6">
        <v>3680000</v>
      </c>
    </row>
    <row r="5" spans="1:2" x14ac:dyDescent="0.3">
      <c r="A5" s="5" t="s">
        <v>23</v>
      </c>
      <c r="B5" s="6">
        <v>2485000</v>
      </c>
    </row>
    <row r="6" spans="1:2" x14ac:dyDescent="0.3">
      <c r="A6" s="5" t="s">
        <v>37</v>
      </c>
      <c r="B6" s="6">
        <v>2435000</v>
      </c>
    </row>
    <row r="7" spans="1:2" x14ac:dyDescent="0.3">
      <c r="A7" s="5" t="s">
        <v>56</v>
      </c>
      <c r="B7" s="6">
        <v>2070000</v>
      </c>
    </row>
    <row r="8" spans="1:2" x14ac:dyDescent="0.3">
      <c r="A8" s="5" t="s">
        <v>43</v>
      </c>
      <c r="B8" s="6">
        <v>1915000</v>
      </c>
    </row>
    <row r="9" spans="1:2" x14ac:dyDescent="0.3">
      <c r="A9" s="5" t="s">
        <v>30</v>
      </c>
      <c r="B9" s="6">
        <v>1810000</v>
      </c>
    </row>
    <row r="10" spans="1:2" x14ac:dyDescent="0.3">
      <c r="A10" s="5" t="s">
        <v>50</v>
      </c>
      <c r="B10" s="6">
        <v>1665000</v>
      </c>
    </row>
    <row r="11" spans="1:2" x14ac:dyDescent="0.3">
      <c r="A11" s="5" t="s">
        <v>62</v>
      </c>
      <c r="B11" s="6">
        <v>1160000</v>
      </c>
    </row>
    <row r="12" spans="1:2" x14ac:dyDescent="0.3">
      <c r="A12" s="5" t="s">
        <v>212</v>
      </c>
      <c r="B12" s="6">
        <v>17220000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54628-7FF9-4886-8802-28C7DF8EAA78}">
  <dimension ref="A3:B12"/>
  <sheetViews>
    <sheetView workbookViewId="0">
      <selection activeCell="M13" sqref="M13"/>
    </sheetView>
  </sheetViews>
  <sheetFormatPr defaultRowHeight="14.4" x14ac:dyDescent="0.3"/>
  <cols>
    <col min="1" max="1" width="15.21875" bestFit="1" customWidth="1"/>
    <col min="2" max="2" width="19" bestFit="1" customWidth="1"/>
  </cols>
  <sheetData>
    <row r="3" spans="1:2" x14ac:dyDescent="0.3">
      <c r="A3" s="4" t="s">
        <v>211</v>
      </c>
      <c r="B3" t="s">
        <v>216</v>
      </c>
    </row>
    <row r="4" spans="1:2" x14ac:dyDescent="0.3">
      <c r="A4" s="5" t="s">
        <v>15</v>
      </c>
      <c r="B4" s="6">
        <v>4232000</v>
      </c>
    </row>
    <row r="5" spans="1:2" x14ac:dyDescent="0.3">
      <c r="A5" s="5" t="s">
        <v>23</v>
      </c>
      <c r="B5" s="6">
        <v>2857750</v>
      </c>
    </row>
    <row r="6" spans="1:2" x14ac:dyDescent="0.3">
      <c r="A6" s="5" t="s">
        <v>37</v>
      </c>
      <c r="B6" s="6">
        <v>2800250</v>
      </c>
    </row>
    <row r="7" spans="1:2" x14ac:dyDescent="0.3">
      <c r="A7" s="5" t="s">
        <v>56</v>
      </c>
      <c r="B7" s="6">
        <v>2380500</v>
      </c>
    </row>
    <row r="8" spans="1:2" x14ac:dyDescent="0.3">
      <c r="A8" s="5" t="s">
        <v>43</v>
      </c>
      <c r="B8" s="6">
        <v>2202250</v>
      </c>
    </row>
    <row r="9" spans="1:2" x14ac:dyDescent="0.3">
      <c r="A9" s="5" t="s">
        <v>30</v>
      </c>
      <c r="B9" s="6">
        <v>2081500</v>
      </c>
    </row>
    <row r="10" spans="1:2" x14ac:dyDescent="0.3">
      <c r="A10" s="5" t="s">
        <v>50</v>
      </c>
      <c r="B10" s="6">
        <v>1914750</v>
      </c>
    </row>
    <row r="11" spans="1:2" x14ac:dyDescent="0.3">
      <c r="A11" s="5" t="s">
        <v>62</v>
      </c>
      <c r="B11" s="6">
        <v>1334000</v>
      </c>
    </row>
    <row r="12" spans="1:2" x14ac:dyDescent="0.3">
      <c r="A12" s="5" t="s">
        <v>212</v>
      </c>
      <c r="B12" s="6">
        <v>19803000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FA419-C5C2-4D03-853E-9F6EA72B39CF}">
  <dimension ref="A3:B14"/>
  <sheetViews>
    <sheetView topLeftCell="B1" workbookViewId="0">
      <selection activeCell="J5" sqref="J5"/>
    </sheetView>
  </sheetViews>
  <sheetFormatPr defaultRowHeight="14.4" x14ac:dyDescent="0.3"/>
  <cols>
    <col min="1" max="1" width="12.5546875" bestFit="1" customWidth="1"/>
    <col min="2" max="2" width="20.5546875" bestFit="1" customWidth="1"/>
  </cols>
  <sheetData>
    <row r="3" spans="1:2" x14ac:dyDescent="0.3">
      <c r="A3" s="4" t="s">
        <v>211</v>
      </c>
      <c r="B3" t="s">
        <v>227</v>
      </c>
    </row>
    <row r="4" spans="1:2" x14ac:dyDescent="0.3">
      <c r="A4" s="5" t="s">
        <v>218</v>
      </c>
      <c r="B4" s="7">
        <v>406666.66666666669</v>
      </c>
    </row>
    <row r="5" spans="1:2" x14ac:dyDescent="0.3">
      <c r="A5" s="5" t="s">
        <v>224</v>
      </c>
      <c r="B5" s="7">
        <v>378333.33333333331</v>
      </c>
    </row>
    <row r="6" spans="1:2" x14ac:dyDescent="0.3">
      <c r="A6" s="5" t="s">
        <v>221</v>
      </c>
      <c r="B6" s="7">
        <v>361666.66666666669</v>
      </c>
    </row>
    <row r="7" spans="1:2" x14ac:dyDescent="0.3">
      <c r="A7" s="5" t="s">
        <v>222</v>
      </c>
      <c r="B7" s="7">
        <v>359285.71428571426</v>
      </c>
    </row>
    <row r="8" spans="1:2" x14ac:dyDescent="0.3">
      <c r="A8" s="5" t="s">
        <v>225</v>
      </c>
      <c r="B8" s="7">
        <v>353000</v>
      </c>
    </row>
    <row r="9" spans="1:2" x14ac:dyDescent="0.3">
      <c r="A9" s="5" t="s">
        <v>220</v>
      </c>
      <c r="B9" s="7">
        <v>340000</v>
      </c>
    </row>
    <row r="10" spans="1:2" x14ac:dyDescent="0.3">
      <c r="A10" s="5" t="s">
        <v>223</v>
      </c>
      <c r="B10" s="7">
        <v>320625</v>
      </c>
    </row>
    <row r="11" spans="1:2" x14ac:dyDescent="0.3">
      <c r="A11" s="5" t="s">
        <v>219</v>
      </c>
      <c r="B11" s="7">
        <v>316000</v>
      </c>
    </row>
    <row r="12" spans="1:2" x14ac:dyDescent="0.3">
      <c r="A12" s="5" t="s">
        <v>217</v>
      </c>
      <c r="B12" s="7">
        <v>307500</v>
      </c>
    </row>
    <row r="13" spans="1:2" x14ac:dyDescent="0.3">
      <c r="A13" s="5" t="s">
        <v>226</v>
      </c>
      <c r="B13" s="7">
        <v>273333.33333333331</v>
      </c>
    </row>
    <row r="14" spans="1:2" x14ac:dyDescent="0.3">
      <c r="A14" s="5" t="s">
        <v>212</v>
      </c>
      <c r="B14" s="7">
        <v>344400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874FE-D1A4-4CED-B55A-E9B822129CEE}">
  <dimension ref="A3:E12"/>
  <sheetViews>
    <sheetView workbookViewId="0">
      <selection activeCell="I14" sqref="I14"/>
    </sheetView>
  </sheetViews>
  <sheetFormatPr defaultRowHeight="14.4" x14ac:dyDescent="0.3"/>
  <cols>
    <col min="1" max="1" width="15.21875" bestFit="1" customWidth="1"/>
    <col min="2" max="2" width="16.5546875" bestFit="1" customWidth="1"/>
    <col min="3" max="3" width="15.33203125" bestFit="1" customWidth="1"/>
    <col min="4" max="4" width="35.6640625" bestFit="1" customWidth="1"/>
    <col min="5" max="5" width="28" bestFit="1" customWidth="1"/>
  </cols>
  <sheetData>
    <row r="3" spans="1:5" x14ac:dyDescent="0.3">
      <c r="A3" s="4" t="s">
        <v>211</v>
      </c>
      <c r="B3" t="s">
        <v>214</v>
      </c>
      <c r="C3" t="s">
        <v>215</v>
      </c>
      <c r="D3" t="s">
        <v>228</v>
      </c>
      <c r="E3" t="s">
        <v>229</v>
      </c>
    </row>
    <row r="4" spans="1:5" x14ac:dyDescent="0.3">
      <c r="A4" s="5" t="s">
        <v>15</v>
      </c>
      <c r="B4" s="7">
        <v>36800</v>
      </c>
      <c r="C4" s="7">
        <v>184000</v>
      </c>
      <c r="D4" s="7">
        <v>73600</v>
      </c>
      <c r="E4" s="7">
        <v>73600</v>
      </c>
    </row>
    <row r="5" spans="1:5" x14ac:dyDescent="0.3">
      <c r="A5" s="5" t="s">
        <v>23</v>
      </c>
      <c r="B5" s="7">
        <v>24850</v>
      </c>
      <c r="C5" s="7">
        <v>124250</v>
      </c>
      <c r="D5" s="7">
        <v>49700</v>
      </c>
      <c r="E5" s="7">
        <v>49700</v>
      </c>
    </row>
    <row r="6" spans="1:5" x14ac:dyDescent="0.3">
      <c r="A6" s="5" t="s">
        <v>37</v>
      </c>
      <c r="B6" s="7">
        <v>24350</v>
      </c>
      <c r="C6" s="7">
        <v>121750</v>
      </c>
      <c r="D6" s="7">
        <v>48700</v>
      </c>
      <c r="E6" s="7">
        <v>48700</v>
      </c>
    </row>
    <row r="7" spans="1:5" x14ac:dyDescent="0.3">
      <c r="A7" s="5" t="s">
        <v>56</v>
      </c>
      <c r="B7" s="7">
        <v>20700</v>
      </c>
      <c r="C7" s="7">
        <v>103500</v>
      </c>
      <c r="D7" s="7">
        <v>41400</v>
      </c>
      <c r="E7" s="7">
        <v>41400</v>
      </c>
    </row>
    <row r="8" spans="1:5" x14ac:dyDescent="0.3">
      <c r="A8" s="5" t="s">
        <v>43</v>
      </c>
      <c r="B8" s="7">
        <v>19150</v>
      </c>
      <c r="C8" s="7">
        <v>95750</v>
      </c>
      <c r="D8" s="7">
        <v>38300</v>
      </c>
      <c r="E8" s="7">
        <v>38300</v>
      </c>
    </row>
    <row r="9" spans="1:5" x14ac:dyDescent="0.3">
      <c r="A9" s="5" t="s">
        <v>30</v>
      </c>
      <c r="B9" s="7">
        <v>18100</v>
      </c>
      <c r="C9" s="7">
        <v>90500</v>
      </c>
      <c r="D9" s="7">
        <v>36200</v>
      </c>
      <c r="E9" s="7">
        <v>36200</v>
      </c>
    </row>
    <row r="10" spans="1:5" x14ac:dyDescent="0.3">
      <c r="A10" s="5" t="s">
        <v>50</v>
      </c>
      <c r="B10" s="7">
        <v>16650</v>
      </c>
      <c r="C10" s="7">
        <v>83250</v>
      </c>
      <c r="D10" s="7">
        <v>33300</v>
      </c>
      <c r="E10" s="7">
        <v>33300</v>
      </c>
    </row>
    <row r="11" spans="1:5" x14ac:dyDescent="0.3">
      <c r="A11" s="5" t="s">
        <v>62</v>
      </c>
      <c r="B11" s="7">
        <v>11600</v>
      </c>
      <c r="C11" s="7">
        <v>58000</v>
      </c>
      <c r="D11" s="7">
        <v>23200</v>
      </c>
      <c r="E11" s="7">
        <v>23200</v>
      </c>
    </row>
    <row r="12" spans="1:5" x14ac:dyDescent="0.3">
      <c r="A12" s="5" t="s">
        <v>212</v>
      </c>
      <c r="B12" s="7">
        <v>172200</v>
      </c>
      <c r="C12" s="7">
        <v>861000</v>
      </c>
      <c r="D12" s="7">
        <v>344400</v>
      </c>
      <c r="E12" s="7">
        <v>344400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B4A1F-0600-46A1-AEAD-E2621AC1B90D}">
  <dimension ref="A3:C12"/>
  <sheetViews>
    <sheetView workbookViewId="0">
      <selection activeCell="B4" sqref="B4"/>
    </sheetView>
  </sheetViews>
  <sheetFormatPr defaultRowHeight="14.4" x14ac:dyDescent="0.3"/>
  <cols>
    <col min="1" max="1" width="15.21875" bestFit="1" customWidth="1"/>
    <col min="2" max="2" width="17.44140625" bestFit="1" customWidth="1"/>
    <col min="3" max="3" width="19" bestFit="1" customWidth="1"/>
  </cols>
  <sheetData>
    <row r="3" spans="1:3" x14ac:dyDescent="0.3">
      <c r="A3" s="4" t="s">
        <v>211</v>
      </c>
      <c r="B3" t="s">
        <v>213</v>
      </c>
      <c r="C3" t="s">
        <v>216</v>
      </c>
    </row>
    <row r="4" spans="1:3" x14ac:dyDescent="0.3">
      <c r="A4" s="5" t="s">
        <v>15</v>
      </c>
      <c r="B4" s="7">
        <v>3680000</v>
      </c>
      <c r="C4" s="8">
        <v>4232000</v>
      </c>
    </row>
    <row r="5" spans="1:3" x14ac:dyDescent="0.3">
      <c r="A5" s="5" t="s">
        <v>23</v>
      </c>
      <c r="B5" s="7">
        <v>2485000</v>
      </c>
      <c r="C5" s="8">
        <v>2857750</v>
      </c>
    </row>
    <row r="6" spans="1:3" x14ac:dyDescent="0.3">
      <c r="A6" s="5" t="s">
        <v>37</v>
      </c>
      <c r="B6" s="7">
        <v>2435000</v>
      </c>
      <c r="C6" s="8">
        <v>2800250</v>
      </c>
    </row>
    <row r="7" spans="1:3" x14ac:dyDescent="0.3">
      <c r="A7" s="5" t="s">
        <v>56</v>
      </c>
      <c r="B7" s="7">
        <v>2070000</v>
      </c>
      <c r="C7" s="8">
        <v>2380500</v>
      </c>
    </row>
    <row r="8" spans="1:3" x14ac:dyDescent="0.3">
      <c r="A8" s="5" t="s">
        <v>43</v>
      </c>
      <c r="B8" s="7">
        <v>1915000</v>
      </c>
      <c r="C8" s="8">
        <v>2202250</v>
      </c>
    </row>
    <row r="9" spans="1:3" x14ac:dyDescent="0.3">
      <c r="A9" s="5" t="s">
        <v>30</v>
      </c>
      <c r="B9" s="7">
        <v>1810000</v>
      </c>
      <c r="C9" s="8">
        <v>2081500</v>
      </c>
    </row>
    <row r="10" spans="1:3" x14ac:dyDescent="0.3">
      <c r="A10" s="5" t="s">
        <v>50</v>
      </c>
      <c r="B10" s="7">
        <v>1665000</v>
      </c>
      <c r="C10" s="8">
        <v>1914750</v>
      </c>
    </row>
    <row r="11" spans="1:3" x14ac:dyDescent="0.3">
      <c r="A11" s="5" t="s">
        <v>62</v>
      </c>
      <c r="B11" s="7">
        <v>1160000</v>
      </c>
      <c r="C11" s="8">
        <v>1334000</v>
      </c>
    </row>
    <row r="12" spans="1:3" x14ac:dyDescent="0.3">
      <c r="A12" s="5" t="s">
        <v>212</v>
      </c>
      <c r="B12" s="7">
        <v>17220000</v>
      </c>
      <c r="C12" s="8">
        <v>19803000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9E3D6-C79A-4B6F-A5A8-5F751136555E}">
  <dimension ref="A3:E4"/>
  <sheetViews>
    <sheetView workbookViewId="0">
      <selection activeCell="A4" sqref="A4"/>
    </sheetView>
  </sheetViews>
  <sheetFormatPr defaultRowHeight="14.4" x14ac:dyDescent="0.3"/>
  <cols>
    <col min="1" max="1" width="20.5546875" bestFit="1" customWidth="1"/>
    <col min="2" max="2" width="19.5546875" bestFit="1" customWidth="1"/>
    <col min="3" max="3" width="19" bestFit="1" customWidth="1"/>
    <col min="4" max="4" width="18.88671875" bestFit="1" customWidth="1"/>
    <col min="5" max="5" width="23.77734375" bestFit="1" customWidth="1"/>
  </cols>
  <sheetData>
    <row r="3" spans="1:5" x14ac:dyDescent="0.3">
      <c r="A3" t="s">
        <v>227</v>
      </c>
      <c r="B3" t="s">
        <v>240</v>
      </c>
      <c r="C3" t="s">
        <v>216</v>
      </c>
      <c r="D3" t="s">
        <v>242</v>
      </c>
      <c r="E3" t="s">
        <v>241</v>
      </c>
    </row>
    <row r="4" spans="1:5" x14ac:dyDescent="0.3">
      <c r="A4">
        <v>344400</v>
      </c>
      <c r="B4">
        <v>50</v>
      </c>
      <c r="C4">
        <v>19803000</v>
      </c>
      <c r="D4">
        <v>21525000</v>
      </c>
      <c r="E4">
        <v>1722000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11CDA-8135-4122-BB15-0E2F09F4EE4E}">
  <dimension ref="A3:B6"/>
  <sheetViews>
    <sheetView workbookViewId="0">
      <selection activeCell="M22" sqref="M22"/>
    </sheetView>
  </sheetViews>
  <sheetFormatPr defaultRowHeight="14.4" x14ac:dyDescent="0.3"/>
  <cols>
    <col min="1" max="1" width="12.5546875" bestFit="1" customWidth="1"/>
    <col min="2" max="2" width="20.5546875" bestFit="1" customWidth="1"/>
  </cols>
  <sheetData>
    <row r="3" spans="1:2" x14ac:dyDescent="0.3">
      <c r="A3" s="4" t="s">
        <v>211</v>
      </c>
      <c r="B3" t="s">
        <v>227</v>
      </c>
    </row>
    <row r="4" spans="1:2" x14ac:dyDescent="0.3">
      <c r="A4" s="5" t="s">
        <v>24</v>
      </c>
      <c r="B4" s="17">
        <v>304400</v>
      </c>
    </row>
    <row r="5" spans="1:2" x14ac:dyDescent="0.3">
      <c r="A5" s="5" t="s">
        <v>16</v>
      </c>
      <c r="B5" s="17">
        <v>384400</v>
      </c>
    </row>
    <row r="6" spans="1:2" x14ac:dyDescent="0.3">
      <c r="A6" s="5" t="s">
        <v>212</v>
      </c>
      <c r="B6" s="17">
        <v>344400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95925-FA6A-462B-96BA-2D0D923A4D40}">
  <dimension ref="A1:AC51"/>
  <sheetViews>
    <sheetView topLeftCell="A2" zoomScale="160" zoomScaleNormal="160" workbookViewId="0">
      <selection activeCell="W6" sqref="W6"/>
    </sheetView>
  </sheetViews>
  <sheetFormatPr defaultRowHeight="14.4" x14ac:dyDescent="0.3"/>
  <cols>
    <col min="1" max="1" width="13.77734375" bestFit="1" customWidth="1"/>
    <col min="2" max="2" width="12.109375" bestFit="1" customWidth="1"/>
    <col min="3" max="3" width="12" bestFit="1" customWidth="1"/>
    <col min="4" max="4" width="15.21875" bestFit="1" customWidth="1"/>
    <col min="5" max="5" width="9.33203125" bestFit="1" customWidth="1"/>
    <col min="6" max="6" width="7.5546875" customWidth="1"/>
    <col min="7" max="7" width="10.109375" bestFit="1" customWidth="1"/>
    <col min="8" max="8" width="10.88671875" bestFit="1" customWidth="1"/>
    <col min="9" max="9" width="16.109375" bestFit="1" customWidth="1"/>
    <col min="10" max="10" width="13" bestFit="1" customWidth="1"/>
    <col min="11" max="11" width="17.6640625" bestFit="1" customWidth="1"/>
    <col min="12" max="12" width="12.88671875" bestFit="1" customWidth="1"/>
    <col min="13" max="13" width="25.44140625" bestFit="1" customWidth="1"/>
    <col min="14" max="14" width="24.21875" bestFit="1" customWidth="1"/>
    <col min="15" max="15" width="26.109375" bestFit="1" customWidth="1"/>
    <col min="16" max="16" width="26.21875" bestFit="1" customWidth="1"/>
    <col min="17" max="17" width="16.77734375" bestFit="1" customWidth="1"/>
    <col min="18" max="18" width="14.44140625" bestFit="1" customWidth="1"/>
    <col min="19" max="19" width="12.21875" bestFit="1" customWidth="1"/>
    <col min="20" max="20" width="12.21875" customWidth="1"/>
    <col min="21" max="21" width="31.44140625" customWidth="1"/>
    <col min="22" max="22" width="23.6640625" bestFit="1" customWidth="1"/>
    <col min="23" max="23" width="20.109375" customWidth="1"/>
    <col min="24" max="27" width="18.6640625" customWidth="1"/>
    <col min="28" max="28" width="11" bestFit="1" customWidth="1"/>
    <col min="29" max="29" width="11" customWidth="1"/>
    <col min="30" max="30" width="23.33203125" bestFit="1" customWidth="1"/>
    <col min="31" max="31" width="11.44140625" customWidth="1"/>
  </cols>
  <sheetData>
    <row r="1" spans="1:29" x14ac:dyDescent="0.3">
      <c r="A1" t="s">
        <v>0</v>
      </c>
      <c r="B1" t="s">
        <v>1</v>
      </c>
      <c r="C1" t="s">
        <v>2</v>
      </c>
      <c r="D1" t="s">
        <v>3</v>
      </c>
      <c r="E1" t="s">
        <v>4</v>
      </c>
      <c r="F1" t="s">
        <v>5</v>
      </c>
      <c r="G1" t="s">
        <v>6</v>
      </c>
      <c r="H1" t="s">
        <v>7</v>
      </c>
      <c r="I1" t="s">
        <v>8</v>
      </c>
      <c r="J1" t="s">
        <v>9</v>
      </c>
      <c r="K1" t="s">
        <v>10</v>
      </c>
      <c r="L1" t="s">
        <v>11</v>
      </c>
      <c r="M1" s="2" t="s">
        <v>197</v>
      </c>
      <c r="N1" s="2" t="s">
        <v>198</v>
      </c>
      <c r="O1" s="2" t="s">
        <v>199</v>
      </c>
      <c r="P1" s="2" t="s">
        <v>200</v>
      </c>
      <c r="Q1" s="2" t="s">
        <v>201</v>
      </c>
      <c r="R1" s="2" t="s">
        <v>202</v>
      </c>
      <c r="S1" s="2" t="s">
        <v>203</v>
      </c>
      <c r="T1" s="2" t="s">
        <v>204</v>
      </c>
      <c r="U1" s="2" t="s">
        <v>207</v>
      </c>
      <c r="V1" s="2" t="s">
        <v>208</v>
      </c>
      <c r="W1" s="2" t="s">
        <v>209</v>
      </c>
      <c r="X1" t="s">
        <v>210</v>
      </c>
      <c r="Y1" t="s">
        <v>246</v>
      </c>
      <c r="AB1" t="s">
        <v>205</v>
      </c>
      <c r="AC1" t="s">
        <v>206</v>
      </c>
    </row>
    <row r="2" spans="1:29" ht="16.8" customHeight="1" x14ac:dyDescent="0.3">
      <c r="A2" t="s">
        <v>59</v>
      </c>
      <c r="B2" t="s">
        <v>60</v>
      </c>
      <c r="C2" t="s">
        <v>61</v>
      </c>
      <c r="D2" t="s">
        <v>62</v>
      </c>
      <c r="E2" t="s">
        <v>24</v>
      </c>
      <c r="F2">
        <v>38</v>
      </c>
      <c r="G2" t="s">
        <v>17</v>
      </c>
      <c r="H2" s="1">
        <v>42920</v>
      </c>
      <c r="I2">
        <v>8000000008</v>
      </c>
      <c r="J2">
        <v>180000</v>
      </c>
      <c r="K2">
        <v>8</v>
      </c>
      <c r="L2" t="s">
        <v>33</v>
      </c>
      <c r="M2">
        <f>salarydata[[#This Row],[Basic Salary]]*$AC$13</f>
        <v>1800</v>
      </c>
      <c r="N2">
        <f>salarydata[[#This Row],[Basic Salary]]*$AC$14</f>
        <v>27000</v>
      </c>
      <c r="O2">
        <f>salarydata[[#This Row],[Basic Salary]]*$AC$15</f>
        <v>9000</v>
      </c>
      <c r="P2">
        <f>salarydata[[#This Row],[Basic Salary]]*$AC$16</f>
        <v>3600</v>
      </c>
      <c r="Q2">
        <f>salarydata[[#This Row],[Basic Salary]]*$AC$17</f>
        <v>3600</v>
      </c>
      <c r="R2">
        <f>salarydata[[#This Row],[Basic Salary]]+salarydata[[#This Row],[ -Performance Bonus (1%)]]+salarydata[[#This Row],[- House Allowance (15%)]]+salarydata[[#This Row],[- Transport Allowance (5%)]]+salarydata[[#This Row],[- wordrope Allowance (2%)]]+salarydata[[#This Row],[- Over Time(2%)]]</f>
        <v>225000</v>
      </c>
      <c r="S2">
        <f>salarydata[[#This Row],[Basic Salary]]*$AC$19</f>
        <v>1800</v>
      </c>
      <c r="T2">
        <f>salarydata[[#This Row],[Basic Salary]]*tax</f>
        <v>9000</v>
      </c>
      <c r="U2">
        <f>salarydata[[#This Row],[Basic Salary]]*healthinsurancepremium</f>
        <v>3600</v>
      </c>
      <c r="V2">
        <f>salarydata[[#This Row],[Basic Salary]]*retirementplan</f>
        <v>3600</v>
      </c>
      <c r="W2">
        <f>salarydata[[#This Row],[- Loan(1%)]]+salarydata[[#This Row],[- Tax(5%)]]+salarydata[[#This Row],[ - Health Insurance Premium(2%)]]+salarydata[[#This Row],[    - Retirement Plan(2%)]]</f>
        <v>18000</v>
      </c>
      <c r="X2">
        <f>salarydata[[#This Row],[- Gross Salary]]-salarydata[[#This Row],[-Total DEDUCTION.]]</f>
        <v>207000</v>
      </c>
      <c r="Y2" s="17">
        <f ca="1">DATEDIF(salarydata[[#This Row],[Hire Date]], TODAY(), "Y")</f>
        <v>9</v>
      </c>
      <c r="AB2" s="2" t="s">
        <v>197</v>
      </c>
      <c r="AC2" s="3">
        <v>0.01</v>
      </c>
    </row>
    <row r="3" spans="1:29" x14ac:dyDescent="0.3">
      <c r="A3" t="s">
        <v>149</v>
      </c>
      <c r="B3" t="s">
        <v>150</v>
      </c>
      <c r="C3" t="s">
        <v>41</v>
      </c>
      <c r="D3" t="s">
        <v>62</v>
      </c>
      <c r="E3" t="s">
        <v>24</v>
      </c>
      <c r="F3">
        <v>30</v>
      </c>
      <c r="G3" t="s">
        <v>151</v>
      </c>
      <c r="H3" s="1">
        <v>44461</v>
      </c>
      <c r="I3">
        <v>8000000032</v>
      </c>
      <c r="J3">
        <v>185000</v>
      </c>
      <c r="K3">
        <v>32</v>
      </c>
      <c r="L3" t="s">
        <v>52</v>
      </c>
      <c r="M3">
        <f>salarydata[[#This Row],[Basic Salary]]*$AC$13</f>
        <v>1850</v>
      </c>
      <c r="N3">
        <f>salarydata[[#This Row],[Basic Salary]]*$AC$14</f>
        <v>27750</v>
      </c>
      <c r="O3">
        <f>salarydata[[#This Row],[Basic Salary]]*$AC$15</f>
        <v>9250</v>
      </c>
      <c r="P3">
        <f>salarydata[[#This Row],[Basic Salary]]*$AC$16</f>
        <v>3700</v>
      </c>
      <c r="Q3">
        <f>salarydata[[#This Row],[Basic Salary]]*$AC$17</f>
        <v>3700</v>
      </c>
      <c r="R3">
        <f>salarydata[[#This Row],[Basic Salary]]+salarydata[[#This Row],[ -Performance Bonus (1%)]]+salarydata[[#This Row],[- House Allowance (15%)]]+salarydata[[#This Row],[- Transport Allowance (5%)]]+salarydata[[#This Row],[- wordrope Allowance (2%)]]+salarydata[[#This Row],[- Over Time(2%)]]</f>
        <v>231250</v>
      </c>
      <c r="S3">
        <f>salarydata[[#This Row],[Basic Salary]]*$AC$19</f>
        <v>1850</v>
      </c>
      <c r="T3">
        <f>salarydata[[#This Row],[Basic Salary]]*tax</f>
        <v>9250</v>
      </c>
      <c r="U3">
        <f>salarydata[[#This Row],[Basic Salary]]*healthinsurancepremium</f>
        <v>3700</v>
      </c>
      <c r="V3">
        <f>salarydata[[#This Row],[Basic Salary]]*retirementplan</f>
        <v>3700</v>
      </c>
      <c r="W3">
        <f>salarydata[[#This Row],[- Loan(1%)]]+salarydata[[#This Row],[- Tax(5%)]]+salarydata[[#This Row],[ - Health Insurance Premium(2%)]]+salarydata[[#This Row],[    - Retirement Plan(2%)]]</f>
        <v>18500</v>
      </c>
      <c r="X3">
        <f>salarydata[[#This Row],[- Gross Salary]]-salarydata[[#This Row],[-Total DEDUCTION.]]</f>
        <v>212750</v>
      </c>
      <c r="Y3" s="17">
        <f ca="1">DATEDIF(salarydata[[#This Row],[Hire Date]], TODAY(), "Y")</f>
        <v>4</v>
      </c>
      <c r="AB3" s="2" t="s">
        <v>198</v>
      </c>
      <c r="AC3" s="3">
        <v>0.15</v>
      </c>
    </row>
    <row r="4" spans="1:29" x14ac:dyDescent="0.3">
      <c r="A4" t="s">
        <v>91</v>
      </c>
      <c r="B4" t="s">
        <v>92</v>
      </c>
      <c r="C4" t="s">
        <v>13</v>
      </c>
      <c r="D4" t="s">
        <v>62</v>
      </c>
      <c r="E4" t="s">
        <v>24</v>
      </c>
      <c r="F4">
        <v>36</v>
      </c>
      <c r="G4" t="s">
        <v>93</v>
      </c>
      <c r="H4" s="1">
        <v>43690</v>
      </c>
      <c r="I4">
        <v>8000000016</v>
      </c>
      <c r="J4">
        <v>190000</v>
      </c>
      <c r="K4">
        <v>16</v>
      </c>
      <c r="L4" t="s">
        <v>52</v>
      </c>
      <c r="M4">
        <f>salarydata[[#This Row],[Basic Salary]]*$AC$13</f>
        <v>1900</v>
      </c>
      <c r="N4">
        <f>salarydata[[#This Row],[Basic Salary]]*$AC$14</f>
        <v>28500</v>
      </c>
      <c r="O4">
        <f>salarydata[[#This Row],[Basic Salary]]*$AC$15</f>
        <v>9500</v>
      </c>
      <c r="P4">
        <f>salarydata[[#This Row],[Basic Salary]]*$AC$16</f>
        <v>3800</v>
      </c>
      <c r="Q4">
        <f>salarydata[[#This Row],[Basic Salary]]*$AC$17</f>
        <v>3800</v>
      </c>
      <c r="R4">
        <f>salarydata[[#This Row],[Basic Salary]]+salarydata[[#This Row],[ -Performance Bonus (1%)]]+salarydata[[#This Row],[- House Allowance (15%)]]+salarydata[[#This Row],[- Transport Allowance (5%)]]+salarydata[[#This Row],[- wordrope Allowance (2%)]]+salarydata[[#This Row],[- Over Time(2%)]]</f>
        <v>237500</v>
      </c>
      <c r="S4">
        <f>salarydata[[#This Row],[Basic Salary]]*$AC$19</f>
        <v>1900</v>
      </c>
      <c r="T4">
        <f>salarydata[[#This Row],[Basic Salary]]*tax</f>
        <v>9500</v>
      </c>
      <c r="U4">
        <f>salarydata[[#This Row],[Basic Salary]]*healthinsurancepremium</f>
        <v>3800</v>
      </c>
      <c r="V4">
        <f>salarydata[[#This Row],[Basic Salary]]*retirementplan</f>
        <v>3800</v>
      </c>
      <c r="W4">
        <f>salarydata[[#This Row],[- Loan(1%)]]+salarydata[[#This Row],[- Tax(5%)]]+salarydata[[#This Row],[ - Health Insurance Premium(2%)]]+salarydata[[#This Row],[    - Retirement Plan(2%)]]</f>
        <v>19000</v>
      </c>
      <c r="X4">
        <f>salarydata[[#This Row],[- Gross Salary]]-salarydata[[#This Row],[-Total DEDUCTION.]]</f>
        <v>218500</v>
      </c>
      <c r="Y4" s="17">
        <f ca="1">DATEDIF(salarydata[[#This Row],[Hire Date]], TODAY(), "Y")</f>
        <v>7</v>
      </c>
      <c r="AB4" s="2" t="s">
        <v>199</v>
      </c>
      <c r="AC4" s="3">
        <v>0.05</v>
      </c>
    </row>
    <row r="5" spans="1:29" x14ac:dyDescent="0.3">
      <c r="A5" t="s">
        <v>191</v>
      </c>
      <c r="B5" t="s">
        <v>162</v>
      </c>
      <c r="C5" t="s">
        <v>13</v>
      </c>
      <c r="D5" t="s">
        <v>62</v>
      </c>
      <c r="E5" t="s">
        <v>24</v>
      </c>
      <c r="F5">
        <v>34</v>
      </c>
      <c r="G5" t="s">
        <v>93</v>
      </c>
      <c r="H5" s="1">
        <v>44354</v>
      </c>
      <c r="I5">
        <v>8000000048</v>
      </c>
      <c r="J5">
        <v>195000</v>
      </c>
      <c r="K5">
        <v>48</v>
      </c>
      <c r="L5" t="s">
        <v>52</v>
      </c>
      <c r="M5">
        <f>salarydata[[#This Row],[Basic Salary]]*$AC$13</f>
        <v>1950</v>
      </c>
      <c r="N5">
        <f>salarydata[[#This Row],[Basic Salary]]*$AC$14</f>
        <v>29250</v>
      </c>
      <c r="O5">
        <f>salarydata[[#This Row],[Basic Salary]]*$AC$15</f>
        <v>9750</v>
      </c>
      <c r="P5">
        <f>salarydata[[#This Row],[Basic Salary]]*$AC$16</f>
        <v>3900</v>
      </c>
      <c r="Q5">
        <f>salarydata[[#This Row],[Basic Salary]]*$AC$17</f>
        <v>3900</v>
      </c>
      <c r="R5">
        <f>salarydata[[#This Row],[Basic Salary]]+salarydata[[#This Row],[ -Performance Bonus (1%)]]+salarydata[[#This Row],[- House Allowance (15%)]]+salarydata[[#This Row],[- Transport Allowance (5%)]]+salarydata[[#This Row],[- wordrope Allowance (2%)]]+salarydata[[#This Row],[- Over Time(2%)]]</f>
        <v>243750</v>
      </c>
      <c r="S5">
        <f>salarydata[[#This Row],[Basic Salary]]*$AC$19</f>
        <v>1950</v>
      </c>
      <c r="T5">
        <f>salarydata[[#This Row],[Basic Salary]]*tax</f>
        <v>9750</v>
      </c>
      <c r="U5">
        <f>salarydata[[#This Row],[Basic Salary]]*healthinsurancepremium</f>
        <v>3900</v>
      </c>
      <c r="V5">
        <f>salarydata[[#This Row],[Basic Salary]]*retirementplan</f>
        <v>3900</v>
      </c>
      <c r="W5">
        <f>salarydata[[#This Row],[- Loan(1%)]]+salarydata[[#This Row],[- Tax(5%)]]+salarydata[[#This Row],[ - Health Insurance Premium(2%)]]+salarydata[[#This Row],[    - Retirement Plan(2%)]]</f>
        <v>19500</v>
      </c>
      <c r="X5">
        <f>salarydata[[#This Row],[- Gross Salary]]-salarydata[[#This Row],[-Total DEDUCTION.]]</f>
        <v>224250</v>
      </c>
      <c r="Y5" s="17">
        <f ca="1">DATEDIF(salarydata[[#This Row],[Hire Date]], TODAY(), "Y")</f>
        <v>5</v>
      </c>
      <c r="AB5" s="2" t="s">
        <v>200</v>
      </c>
      <c r="AC5" s="3">
        <v>0.02</v>
      </c>
    </row>
    <row r="6" spans="1:29" x14ac:dyDescent="0.3">
      <c r="A6" t="s">
        <v>120</v>
      </c>
      <c r="B6" t="s">
        <v>121</v>
      </c>
      <c r="C6" t="s">
        <v>122</v>
      </c>
      <c r="D6" t="s">
        <v>62</v>
      </c>
      <c r="E6" t="s">
        <v>24</v>
      </c>
      <c r="F6">
        <v>44</v>
      </c>
      <c r="G6" t="s">
        <v>123</v>
      </c>
      <c r="H6" s="1">
        <v>42423</v>
      </c>
      <c r="I6">
        <v>8000000024</v>
      </c>
      <c r="J6">
        <v>200000</v>
      </c>
      <c r="K6">
        <v>24</v>
      </c>
      <c r="L6" t="s">
        <v>26</v>
      </c>
      <c r="M6">
        <f>salarydata[[#This Row],[Basic Salary]]*$AC$13</f>
        <v>2000</v>
      </c>
      <c r="N6">
        <f>salarydata[[#This Row],[Basic Salary]]*$AC$14</f>
        <v>30000</v>
      </c>
      <c r="O6">
        <f>salarydata[[#This Row],[Basic Salary]]*$AC$15</f>
        <v>10000</v>
      </c>
      <c r="P6">
        <f>salarydata[[#This Row],[Basic Salary]]*$AC$16</f>
        <v>4000</v>
      </c>
      <c r="Q6">
        <f>salarydata[[#This Row],[Basic Salary]]*$AC$17</f>
        <v>4000</v>
      </c>
      <c r="R6">
        <f>salarydata[[#This Row],[Basic Salary]]+salarydata[[#This Row],[ -Performance Bonus (1%)]]+salarydata[[#This Row],[- House Allowance (15%)]]+salarydata[[#This Row],[- Transport Allowance (5%)]]+salarydata[[#This Row],[- wordrope Allowance (2%)]]+salarydata[[#This Row],[- Over Time(2%)]]</f>
        <v>250000</v>
      </c>
      <c r="S6">
        <f>salarydata[[#This Row],[Basic Salary]]*$AC$19</f>
        <v>2000</v>
      </c>
      <c r="T6">
        <f>salarydata[[#This Row],[Basic Salary]]*tax</f>
        <v>10000</v>
      </c>
      <c r="U6">
        <f>salarydata[[#This Row],[Basic Salary]]*healthinsurancepremium</f>
        <v>4000</v>
      </c>
      <c r="V6">
        <f>salarydata[[#This Row],[Basic Salary]]*retirementplan</f>
        <v>4000</v>
      </c>
      <c r="W6">
        <f>salarydata[[#This Row],[- Loan(1%)]]+salarydata[[#This Row],[- Tax(5%)]]+salarydata[[#This Row],[ - Health Insurance Premium(2%)]]+salarydata[[#This Row],[    - Retirement Plan(2%)]]</f>
        <v>20000</v>
      </c>
      <c r="X6">
        <f>salarydata[[#This Row],[- Gross Salary]]-salarydata[[#This Row],[-Total DEDUCTION.]]</f>
        <v>230000</v>
      </c>
      <c r="Y6" s="17">
        <f ca="1">DATEDIF(salarydata[[#This Row],[Hire Date]], TODAY(), "Y")</f>
        <v>10</v>
      </c>
      <c r="AB6" s="2" t="s">
        <v>201</v>
      </c>
      <c r="AC6" s="3">
        <v>0.02</v>
      </c>
    </row>
    <row r="7" spans="1:29" x14ac:dyDescent="0.3">
      <c r="A7" t="s">
        <v>172</v>
      </c>
      <c r="B7" t="s">
        <v>173</v>
      </c>
      <c r="C7" t="s">
        <v>112</v>
      </c>
      <c r="D7" t="s">
        <v>62</v>
      </c>
      <c r="E7" t="s">
        <v>24</v>
      </c>
      <c r="F7">
        <v>42</v>
      </c>
      <c r="G7" t="s">
        <v>25</v>
      </c>
      <c r="H7" s="1">
        <v>43449</v>
      </c>
      <c r="I7">
        <v>8000000040</v>
      </c>
      <c r="J7">
        <v>210000</v>
      </c>
      <c r="K7">
        <v>40</v>
      </c>
      <c r="L7" t="s">
        <v>26</v>
      </c>
      <c r="M7">
        <f>salarydata[[#This Row],[Basic Salary]]*$AC$13</f>
        <v>2100</v>
      </c>
      <c r="N7">
        <f>salarydata[[#This Row],[Basic Salary]]*$AC$14</f>
        <v>31500</v>
      </c>
      <c r="O7">
        <f>salarydata[[#This Row],[Basic Salary]]*$AC$15</f>
        <v>10500</v>
      </c>
      <c r="P7">
        <f>salarydata[[#This Row],[Basic Salary]]*$AC$16</f>
        <v>4200</v>
      </c>
      <c r="Q7">
        <f>salarydata[[#This Row],[Basic Salary]]*$AC$17</f>
        <v>4200</v>
      </c>
      <c r="R7">
        <f>salarydata[[#This Row],[Basic Salary]]+salarydata[[#This Row],[ -Performance Bonus (1%)]]+salarydata[[#This Row],[- House Allowance (15%)]]+salarydata[[#This Row],[- Transport Allowance (5%)]]+salarydata[[#This Row],[- wordrope Allowance (2%)]]+salarydata[[#This Row],[- Over Time(2%)]]</f>
        <v>262500</v>
      </c>
      <c r="S7">
        <f>salarydata[[#This Row],[Basic Salary]]*$AC$19</f>
        <v>2100</v>
      </c>
      <c r="T7">
        <f>salarydata[[#This Row],[Basic Salary]]*tax</f>
        <v>10500</v>
      </c>
      <c r="U7">
        <f>salarydata[[#This Row],[Basic Salary]]*healthinsurancepremium</f>
        <v>4200</v>
      </c>
      <c r="V7">
        <f>salarydata[[#This Row],[Basic Salary]]*retirementplan</f>
        <v>4200</v>
      </c>
      <c r="W7">
        <f>salarydata[[#This Row],[- Loan(1%)]]+salarydata[[#This Row],[- Tax(5%)]]+salarydata[[#This Row],[ - Health Insurance Premium(2%)]]+salarydata[[#This Row],[    - Retirement Plan(2%)]]</f>
        <v>21000</v>
      </c>
      <c r="X7">
        <f>salarydata[[#This Row],[- Gross Salary]]-salarydata[[#This Row],[-Total DEDUCTION.]]</f>
        <v>241500</v>
      </c>
      <c r="Y7" s="17">
        <f ca="1">DATEDIF(salarydata[[#This Row],[Hire Date]], TODAY(), "Y")</f>
        <v>7</v>
      </c>
      <c r="AB7" s="2" t="s">
        <v>202</v>
      </c>
      <c r="AC7" s="3"/>
    </row>
    <row r="8" spans="1:29" x14ac:dyDescent="0.3">
      <c r="A8" t="s">
        <v>47</v>
      </c>
      <c r="B8" t="s">
        <v>48</v>
      </c>
      <c r="C8" t="s">
        <v>49</v>
      </c>
      <c r="D8" t="s">
        <v>50</v>
      </c>
      <c r="E8" t="s">
        <v>24</v>
      </c>
      <c r="F8">
        <v>26</v>
      </c>
      <c r="G8" t="s">
        <v>51</v>
      </c>
      <c r="H8" s="1">
        <v>45353</v>
      </c>
      <c r="I8">
        <v>8000000006</v>
      </c>
      <c r="J8">
        <v>250000</v>
      </c>
      <c r="K8">
        <v>6</v>
      </c>
      <c r="L8" t="s">
        <v>52</v>
      </c>
      <c r="M8">
        <f>salarydata[[#This Row],[Basic Salary]]*$AC$13</f>
        <v>2500</v>
      </c>
      <c r="N8">
        <f>salarydata[[#This Row],[Basic Salary]]*$AC$14</f>
        <v>37500</v>
      </c>
      <c r="O8">
        <f>salarydata[[#This Row],[Basic Salary]]*$AC$15</f>
        <v>12500</v>
      </c>
      <c r="P8">
        <f>salarydata[[#This Row],[Basic Salary]]*$AC$16</f>
        <v>5000</v>
      </c>
      <c r="Q8">
        <f>salarydata[[#This Row],[Basic Salary]]*$AC$17</f>
        <v>5000</v>
      </c>
      <c r="R8">
        <f>salarydata[[#This Row],[Basic Salary]]+salarydata[[#This Row],[ -Performance Bonus (1%)]]+salarydata[[#This Row],[- House Allowance (15%)]]+salarydata[[#This Row],[- Transport Allowance (5%)]]+salarydata[[#This Row],[- wordrope Allowance (2%)]]+salarydata[[#This Row],[- Over Time(2%)]]</f>
        <v>312500</v>
      </c>
      <c r="S8">
        <f>salarydata[[#This Row],[Basic Salary]]*$AC$19</f>
        <v>2500</v>
      </c>
      <c r="T8">
        <f>salarydata[[#This Row],[Basic Salary]]*tax</f>
        <v>12500</v>
      </c>
      <c r="U8">
        <f>salarydata[[#This Row],[Basic Salary]]*healthinsurancepremium</f>
        <v>5000</v>
      </c>
      <c r="V8">
        <f>salarydata[[#This Row],[Basic Salary]]*retirementplan</f>
        <v>5000</v>
      </c>
      <c r="W8">
        <f>salarydata[[#This Row],[- Loan(1%)]]+salarydata[[#This Row],[- Tax(5%)]]+salarydata[[#This Row],[ - Health Insurance Premium(2%)]]+salarydata[[#This Row],[    - Retirement Plan(2%)]]</f>
        <v>25000</v>
      </c>
      <c r="X8">
        <f>salarydata[[#This Row],[- Gross Salary]]-salarydata[[#This Row],[-Total DEDUCTION.]]</f>
        <v>287500</v>
      </c>
      <c r="Y8" s="17">
        <f ca="1">DATEDIF(salarydata[[#This Row],[Hire Date]], TODAY(), "Y")</f>
        <v>2</v>
      </c>
      <c r="AB8" s="2" t="s">
        <v>203</v>
      </c>
      <c r="AC8" s="3">
        <v>0.01</v>
      </c>
    </row>
    <row r="9" spans="1:29" x14ac:dyDescent="0.3">
      <c r="A9" t="s">
        <v>139</v>
      </c>
      <c r="B9" t="s">
        <v>140</v>
      </c>
      <c r="C9" t="s">
        <v>141</v>
      </c>
      <c r="D9" t="s">
        <v>50</v>
      </c>
      <c r="E9" t="s">
        <v>16</v>
      </c>
      <c r="F9">
        <v>26</v>
      </c>
      <c r="G9" t="s">
        <v>142</v>
      </c>
      <c r="H9" s="1">
        <v>45459</v>
      </c>
      <c r="I9">
        <v>8000000029</v>
      </c>
      <c r="J9">
        <v>260000</v>
      </c>
      <c r="K9">
        <v>29</v>
      </c>
      <c r="L9" t="s">
        <v>26</v>
      </c>
      <c r="M9">
        <f>salarydata[[#This Row],[Basic Salary]]*$AC$13</f>
        <v>2600</v>
      </c>
      <c r="N9">
        <f>salarydata[[#This Row],[Basic Salary]]*$AC$14</f>
        <v>39000</v>
      </c>
      <c r="O9">
        <f>salarydata[[#This Row],[Basic Salary]]*$AC$15</f>
        <v>13000</v>
      </c>
      <c r="P9">
        <f>salarydata[[#This Row],[Basic Salary]]*$AC$16</f>
        <v>5200</v>
      </c>
      <c r="Q9">
        <f>salarydata[[#This Row],[Basic Salary]]*$AC$17</f>
        <v>5200</v>
      </c>
      <c r="R9">
        <f>salarydata[[#This Row],[Basic Salary]]+salarydata[[#This Row],[ -Performance Bonus (1%)]]+salarydata[[#This Row],[- House Allowance (15%)]]+salarydata[[#This Row],[- Transport Allowance (5%)]]+salarydata[[#This Row],[- wordrope Allowance (2%)]]+salarydata[[#This Row],[- Over Time(2%)]]</f>
        <v>325000</v>
      </c>
      <c r="S9">
        <f>salarydata[[#This Row],[Basic Salary]]*$AC$19</f>
        <v>2600</v>
      </c>
      <c r="T9">
        <f>salarydata[[#This Row],[Basic Salary]]*tax</f>
        <v>13000</v>
      </c>
      <c r="U9">
        <f>salarydata[[#This Row],[Basic Salary]]*healthinsurancepremium</f>
        <v>5200</v>
      </c>
      <c r="V9">
        <f>salarydata[[#This Row],[Basic Salary]]*retirementplan</f>
        <v>5200</v>
      </c>
      <c r="W9">
        <f>salarydata[[#This Row],[- Loan(1%)]]+salarydata[[#This Row],[- Tax(5%)]]+salarydata[[#This Row],[ - Health Insurance Premium(2%)]]+salarydata[[#This Row],[    - Retirement Plan(2%)]]</f>
        <v>26000</v>
      </c>
      <c r="X9">
        <f>salarydata[[#This Row],[- Gross Salary]]-salarydata[[#This Row],[-Total DEDUCTION.]]</f>
        <v>299000</v>
      </c>
      <c r="Y9" s="17">
        <f ca="1">DATEDIF(salarydata[[#This Row],[Hire Date]], TODAY(), "Y")</f>
        <v>2</v>
      </c>
      <c r="AB9" s="2" t="s">
        <v>204</v>
      </c>
      <c r="AC9" s="3">
        <v>0.05</v>
      </c>
    </row>
    <row r="10" spans="1:29" x14ac:dyDescent="0.3">
      <c r="A10" t="s">
        <v>81</v>
      </c>
      <c r="B10" t="s">
        <v>82</v>
      </c>
      <c r="C10" t="s">
        <v>83</v>
      </c>
      <c r="D10" t="s">
        <v>50</v>
      </c>
      <c r="E10" t="s">
        <v>16</v>
      </c>
      <c r="F10">
        <v>32</v>
      </c>
      <c r="G10" t="s">
        <v>44</v>
      </c>
      <c r="H10" s="1">
        <v>44503</v>
      </c>
      <c r="I10">
        <v>8000000013</v>
      </c>
      <c r="J10">
        <v>270000</v>
      </c>
      <c r="K10">
        <v>13</v>
      </c>
      <c r="L10" t="s">
        <v>26</v>
      </c>
      <c r="M10">
        <f>salarydata[[#This Row],[Basic Salary]]*$AC$13</f>
        <v>2700</v>
      </c>
      <c r="N10">
        <f>salarydata[[#This Row],[Basic Salary]]*$AC$14</f>
        <v>40500</v>
      </c>
      <c r="O10">
        <f>salarydata[[#This Row],[Basic Salary]]*$AC$15</f>
        <v>13500</v>
      </c>
      <c r="P10">
        <f>salarydata[[#This Row],[Basic Salary]]*$AC$16</f>
        <v>5400</v>
      </c>
      <c r="Q10">
        <f>salarydata[[#This Row],[Basic Salary]]*$AC$17</f>
        <v>5400</v>
      </c>
      <c r="R10">
        <f>salarydata[[#This Row],[Basic Salary]]+salarydata[[#This Row],[ -Performance Bonus (1%)]]+salarydata[[#This Row],[- House Allowance (15%)]]+salarydata[[#This Row],[- Transport Allowance (5%)]]+salarydata[[#This Row],[- wordrope Allowance (2%)]]+salarydata[[#This Row],[- Over Time(2%)]]</f>
        <v>337500</v>
      </c>
      <c r="S10">
        <f>salarydata[[#This Row],[Basic Salary]]*$AC$19</f>
        <v>2700</v>
      </c>
      <c r="T10">
        <f>salarydata[[#This Row],[Basic Salary]]*tax</f>
        <v>13500</v>
      </c>
      <c r="U10">
        <f>salarydata[[#This Row],[Basic Salary]]*healthinsurancepremium</f>
        <v>5400</v>
      </c>
      <c r="V10">
        <f>salarydata[[#This Row],[Basic Salary]]*retirementplan</f>
        <v>5400</v>
      </c>
      <c r="W10">
        <f>salarydata[[#This Row],[- Loan(1%)]]+salarydata[[#This Row],[- Tax(5%)]]+salarydata[[#This Row],[ - Health Insurance Premium(2%)]]+salarydata[[#This Row],[    - Retirement Plan(2%)]]</f>
        <v>27000</v>
      </c>
      <c r="X10">
        <f>salarydata[[#This Row],[- Gross Salary]]-salarydata[[#This Row],[-Total DEDUCTION.]]</f>
        <v>310500</v>
      </c>
      <c r="Y10" s="17">
        <f ca="1">DATEDIF(salarydata[[#This Row],[Hire Date]], TODAY(), "Y")</f>
        <v>4</v>
      </c>
    </row>
    <row r="11" spans="1:29" x14ac:dyDescent="0.3">
      <c r="A11" t="s">
        <v>27</v>
      </c>
      <c r="B11" t="s">
        <v>28</v>
      </c>
      <c r="C11" t="s">
        <v>29</v>
      </c>
      <c r="D11" t="s">
        <v>30</v>
      </c>
      <c r="E11" t="s">
        <v>16</v>
      </c>
      <c r="F11">
        <v>41</v>
      </c>
      <c r="G11" t="s">
        <v>31</v>
      </c>
      <c r="H11" s="1">
        <v>43122</v>
      </c>
      <c r="I11">
        <v>8000000003</v>
      </c>
      <c r="J11">
        <v>280000</v>
      </c>
      <c r="K11">
        <v>3</v>
      </c>
      <c r="L11" t="s">
        <v>33</v>
      </c>
      <c r="M11">
        <f>salarydata[[#This Row],[Basic Salary]]*$AC$13</f>
        <v>2800</v>
      </c>
      <c r="N11">
        <f>salarydata[[#This Row],[Basic Salary]]*$AC$14</f>
        <v>42000</v>
      </c>
      <c r="O11">
        <f>salarydata[[#This Row],[Basic Salary]]*$AC$15</f>
        <v>14000</v>
      </c>
      <c r="P11">
        <f>salarydata[[#This Row],[Basic Salary]]*$AC$16</f>
        <v>5600</v>
      </c>
      <c r="Q11">
        <f>salarydata[[#This Row],[Basic Salary]]*$AC$17</f>
        <v>5600</v>
      </c>
      <c r="R11">
        <f>salarydata[[#This Row],[Basic Salary]]+salarydata[[#This Row],[ -Performance Bonus (1%)]]+salarydata[[#This Row],[- House Allowance (15%)]]+salarydata[[#This Row],[- Transport Allowance (5%)]]+salarydata[[#This Row],[- wordrope Allowance (2%)]]+salarydata[[#This Row],[- Over Time(2%)]]</f>
        <v>350000</v>
      </c>
      <c r="S11">
        <f>salarydata[[#This Row],[Basic Salary]]*$AC$19</f>
        <v>2800</v>
      </c>
      <c r="T11">
        <f>salarydata[[#This Row],[Basic Salary]]*tax</f>
        <v>14000</v>
      </c>
      <c r="U11">
        <f>salarydata[[#This Row],[Basic Salary]]*healthinsurancepremium</f>
        <v>5600</v>
      </c>
      <c r="V11">
        <f>salarydata[[#This Row],[Basic Salary]]*retirementplan</f>
        <v>5600</v>
      </c>
      <c r="W11">
        <f>salarydata[[#This Row],[- Loan(1%)]]+salarydata[[#This Row],[- Tax(5%)]]+salarydata[[#This Row],[ - Health Insurance Premium(2%)]]+salarydata[[#This Row],[    - Retirement Plan(2%)]]</f>
        <v>28000</v>
      </c>
      <c r="X11">
        <f>salarydata[[#This Row],[- Gross Salary]]-salarydata[[#This Row],[-Total DEDUCTION.]]</f>
        <v>322000</v>
      </c>
      <c r="Y11" s="17">
        <f ca="1">DATEDIF(salarydata[[#This Row],[Hire Date]], TODAY(), "Y")</f>
        <v>8</v>
      </c>
    </row>
    <row r="12" spans="1:29" x14ac:dyDescent="0.3">
      <c r="A12" t="s">
        <v>110</v>
      </c>
      <c r="B12" t="s">
        <v>111</v>
      </c>
      <c r="C12" t="s">
        <v>112</v>
      </c>
      <c r="D12" t="s">
        <v>50</v>
      </c>
      <c r="E12" t="s">
        <v>16</v>
      </c>
      <c r="F12">
        <v>31</v>
      </c>
      <c r="G12" t="s">
        <v>25</v>
      </c>
      <c r="H12" s="1">
        <v>44484</v>
      </c>
      <c r="I12">
        <v>8000000021</v>
      </c>
      <c r="J12">
        <v>285000</v>
      </c>
      <c r="K12">
        <v>21</v>
      </c>
      <c r="L12" t="s">
        <v>33</v>
      </c>
      <c r="M12">
        <f>salarydata[[#This Row],[Basic Salary]]*$AC$13</f>
        <v>2850</v>
      </c>
      <c r="N12">
        <f>salarydata[[#This Row],[Basic Salary]]*$AC$14</f>
        <v>42750</v>
      </c>
      <c r="O12">
        <f>salarydata[[#This Row],[Basic Salary]]*$AC$15</f>
        <v>14250</v>
      </c>
      <c r="P12">
        <f>salarydata[[#This Row],[Basic Salary]]*$AC$16</f>
        <v>5700</v>
      </c>
      <c r="Q12">
        <f>salarydata[[#This Row],[Basic Salary]]*$AC$17</f>
        <v>5700</v>
      </c>
      <c r="R12">
        <f>salarydata[[#This Row],[Basic Salary]]+salarydata[[#This Row],[ -Performance Bonus (1%)]]+salarydata[[#This Row],[- House Allowance (15%)]]+salarydata[[#This Row],[- Transport Allowance (5%)]]+salarydata[[#This Row],[- wordrope Allowance (2%)]]+salarydata[[#This Row],[- Over Time(2%)]]</f>
        <v>356250</v>
      </c>
      <c r="S12">
        <f>salarydata[[#This Row],[Basic Salary]]*$AC$19</f>
        <v>2850</v>
      </c>
      <c r="T12">
        <f>salarydata[[#This Row],[Basic Salary]]*tax</f>
        <v>14250</v>
      </c>
      <c r="U12">
        <f>salarydata[[#This Row],[Basic Salary]]*healthinsurancepremium</f>
        <v>5700</v>
      </c>
      <c r="V12">
        <f>salarydata[[#This Row],[Basic Salary]]*retirementplan</f>
        <v>5700</v>
      </c>
      <c r="W12">
        <f>salarydata[[#This Row],[- Loan(1%)]]+salarydata[[#This Row],[- Tax(5%)]]+salarydata[[#This Row],[ - Health Insurance Premium(2%)]]+salarydata[[#This Row],[    - Retirement Plan(2%)]]</f>
        <v>28500</v>
      </c>
      <c r="X12">
        <f>salarydata[[#This Row],[- Gross Salary]]-salarydata[[#This Row],[-Total DEDUCTION.]]</f>
        <v>327750</v>
      </c>
      <c r="Y12" s="17">
        <f ca="1">DATEDIF(salarydata[[#This Row],[Hire Date]], TODAY(), "Y")</f>
        <v>4</v>
      </c>
    </row>
    <row r="13" spans="1:29" x14ac:dyDescent="0.3">
      <c r="A13" t="s">
        <v>116</v>
      </c>
      <c r="B13" t="s">
        <v>117</v>
      </c>
      <c r="C13" t="s">
        <v>118</v>
      </c>
      <c r="D13" t="s">
        <v>30</v>
      </c>
      <c r="E13" t="s">
        <v>16</v>
      </c>
      <c r="F13">
        <v>40</v>
      </c>
      <c r="G13" t="s">
        <v>119</v>
      </c>
      <c r="H13" s="1">
        <v>43441</v>
      </c>
      <c r="I13">
        <v>8000000023</v>
      </c>
      <c r="J13">
        <v>290000</v>
      </c>
      <c r="K13">
        <v>23</v>
      </c>
      <c r="L13" t="s">
        <v>19</v>
      </c>
      <c r="M13">
        <f>salarydata[[#This Row],[Basic Salary]]*$AC$13</f>
        <v>2900</v>
      </c>
      <c r="N13">
        <f>salarydata[[#This Row],[Basic Salary]]*$AC$14</f>
        <v>43500</v>
      </c>
      <c r="O13">
        <f>salarydata[[#This Row],[Basic Salary]]*$AC$15</f>
        <v>14500</v>
      </c>
      <c r="P13">
        <f>salarydata[[#This Row],[Basic Salary]]*$AC$16</f>
        <v>5800</v>
      </c>
      <c r="Q13">
        <f>salarydata[[#This Row],[Basic Salary]]*$AC$17</f>
        <v>5800</v>
      </c>
      <c r="R13">
        <f>salarydata[[#This Row],[Basic Salary]]+salarydata[[#This Row],[ -Performance Bonus (1%)]]+salarydata[[#This Row],[- House Allowance (15%)]]+salarydata[[#This Row],[- Transport Allowance (5%)]]+salarydata[[#This Row],[- wordrope Allowance (2%)]]+salarydata[[#This Row],[- Over Time(2%)]]</f>
        <v>362500</v>
      </c>
      <c r="S13">
        <f>salarydata[[#This Row],[Basic Salary]]*$AC$19</f>
        <v>2900</v>
      </c>
      <c r="T13">
        <f>salarydata[[#This Row],[Basic Salary]]*tax</f>
        <v>14500</v>
      </c>
      <c r="U13">
        <f>salarydata[[#This Row],[Basic Salary]]*healthinsurancepremium</f>
        <v>5800</v>
      </c>
      <c r="V13">
        <f>salarydata[[#This Row],[Basic Salary]]*retirementplan</f>
        <v>5800</v>
      </c>
      <c r="W13">
        <f>salarydata[[#This Row],[- Loan(1%)]]+salarydata[[#This Row],[- Tax(5%)]]+salarydata[[#This Row],[ - Health Insurance Premium(2%)]]+salarydata[[#This Row],[    - Retirement Plan(2%)]]</f>
        <v>29000</v>
      </c>
      <c r="X13">
        <f>salarydata[[#This Row],[- Gross Salary]]-salarydata[[#This Row],[-Total DEDUCTION.]]</f>
        <v>333500</v>
      </c>
      <c r="Y13" s="17">
        <f ca="1">DATEDIF(salarydata[[#This Row],[Hire Date]], TODAY(), "Y")</f>
        <v>7</v>
      </c>
      <c r="AB13" s="2" t="s">
        <v>197</v>
      </c>
      <c r="AC13" s="3">
        <v>0.01</v>
      </c>
    </row>
    <row r="14" spans="1:29" x14ac:dyDescent="0.3">
      <c r="A14" t="s">
        <v>165</v>
      </c>
      <c r="B14" t="s">
        <v>166</v>
      </c>
      <c r="C14" t="s">
        <v>49</v>
      </c>
      <c r="D14" t="s">
        <v>50</v>
      </c>
      <c r="E14" t="s">
        <v>16</v>
      </c>
      <c r="F14">
        <v>34</v>
      </c>
      <c r="G14" t="s">
        <v>105</v>
      </c>
      <c r="H14" s="1">
        <v>44110</v>
      </c>
      <c r="I14">
        <v>8000000037</v>
      </c>
      <c r="J14">
        <v>295000</v>
      </c>
      <c r="K14">
        <v>37</v>
      </c>
      <c r="L14" t="s">
        <v>39</v>
      </c>
      <c r="M14">
        <f>salarydata[[#This Row],[Basic Salary]]*$AC$13</f>
        <v>2950</v>
      </c>
      <c r="N14">
        <f>salarydata[[#This Row],[Basic Salary]]*$AC$14</f>
        <v>44250</v>
      </c>
      <c r="O14">
        <f>salarydata[[#This Row],[Basic Salary]]*$AC$15</f>
        <v>14750</v>
      </c>
      <c r="P14">
        <f>salarydata[[#This Row],[Basic Salary]]*$AC$16</f>
        <v>5900</v>
      </c>
      <c r="Q14">
        <f>salarydata[[#This Row],[Basic Salary]]*$AC$17</f>
        <v>5900</v>
      </c>
      <c r="R14">
        <f>salarydata[[#This Row],[Basic Salary]]+salarydata[[#This Row],[ -Performance Bonus (1%)]]+salarydata[[#This Row],[- House Allowance (15%)]]+salarydata[[#This Row],[- Transport Allowance (5%)]]+salarydata[[#This Row],[- wordrope Allowance (2%)]]+salarydata[[#This Row],[- Over Time(2%)]]</f>
        <v>368750</v>
      </c>
      <c r="S14">
        <f>salarydata[[#This Row],[Basic Salary]]*$AC$19</f>
        <v>2950</v>
      </c>
      <c r="T14">
        <f>salarydata[[#This Row],[Basic Salary]]*tax</f>
        <v>14750</v>
      </c>
      <c r="U14">
        <f>salarydata[[#This Row],[Basic Salary]]*healthinsurancepremium</f>
        <v>5900</v>
      </c>
      <c r="V14">
        <f>salarydata[[#This Row],[Basic Salary]]*retirementplan</f>
        <v>5900</v>
      </c>
      <c r="W14">
        <f>salarydata[[#This Row],[- Loan(1%)]]+salarydata[[#This Row],[- Tax(5%)]]+salarydata[[#This Row],[ - Health Insurance Premium(2%)]]+salarydata[[#This Row],[    - Retirement Plan(2%)]]</f>
        <v>29500</v>
      </c>
      <c r="X14">
        <f>salarydata[[#This Row],[- Gross Salary]]-salarydata[[#This Row],[-Total DEDUCTION.]]</f>
        <v>339250</v>
      </c>
      <c r="Y14" s="17">
        <f ca="1">DATEDIF(salarydata[[#This Row],[Hire Date]], TODAY(), "Y")</f>
        <v>5</v>
      </c>
      <c r="AB14" s="2" t="s">
        <v>198</v>
      </c>
      <c r="AC14" s="3">
        <v>0.15</v>
      </c>
    </row>
    <row r="15" spans="1:29" x14ac:dyDescent="0.3">
      <c r="A15" t="s">
        <v>40</v>
      </c>
      <c r="B15" t="s">
        <v>41</v>
      </c>
      <c r="C15" t="s">
        <v>42</v>
      </c>
      <c r="D15" t="s">
        <v>43</v>
      </c>
      <c r="E15" t="s">
        <v>16</v>
      </c>
      <c r="F15">
        <v>27</v>
      </c>
      <c r="G15" t="s">
        <v>44</v>
      </c>
      <c r="H15" s="1">
        <v>45244</v>
      </c>
      <c r="I15">
        <v>8000000005</v>
      </c>
      <c r="J15">
        <v>300000</v>
      </c>
      <c r="K15">
        <v>5</v>
      </c>
      <c r="L15" t="s">
        <v>46</v>
      </c>
      <c r="M15">
        <f>salarydata[[#This Row],[Basic Salary]]*$AC$13</f>
        <v>3000</v>
      </c>
      <c r="N15">
        <f>salarydata[[#This Row],[Basic Salary]]*$AC$14</f>
        <v>45000</v>
      </c>
      <c r="O15">
        <f>salarydata[[#This Row],[Basic Salary]]*$AC$15</f>
        <v>15000</v>
      </c>
      <c r="P15">
        <f>salarydata[[#This Row],[Basic Salary]]*$AC$16</f>
        <v>6000</v>
      </c>
      <c r="Q15">
        <f>salarydata[[#This Row],[Basic Salary]]*$AC$17</f>
        <v>6000</v>
      </c>
      <c r="R15">
        <f>salarydata[[#This Row],[Basic Salary]]+salarydata[[#This Row],[ -Performance Bonus (1%)]]+salarydata[[#This Row],[- House Allowance (15%)]]+salarydata[[#This Row],[- Transport Allowance (5%)]]+salarydata[[#This Row],[- wordrope Allowance (2%)]]+salarydata[[#This Row],[- Over Time(2%)]]</f>
        <v>375000</v>
      </c>
      <c r="S15">
        <f>salarydata[[#This Row],[Basic Salary]]*$AC$19</f>
        <v>3000</v>
      </c>
      <c r="T15">
        <f>salarydata[[#This Row],[Basic Salary]]*tax</f>
        <v>15000</v>
      </c>
      <c r="U15">
        <f>salarydata[[#This Row],[Basic Salary]]*healthinsurancepremium</f>
        <v>6000</v>
      </c>
      <c r="V15">
        <f>salarydata[[#This Row],[Basic Salary]]*retirementplan</f>
        <v>6000</v>
      </c>
      <c r="W15">
        <f>salarydata[[#This Row],[- Loan(1%)]]+salarydata[[#This Row],[- Tax(5%)]]+salarydata[[#This Row],[ - Health Insurance Premium(2%)]]+salarydata[[#This Row],[    - Retirement Plan(2%)]]</f>
        <v>30000</v>
      </c>
      <c r="X15">
        <f>salarydata[[#This Row],[- Gross Salary]]-salarydata[[#This Row],[-Total DEDUCTION.]]</f>
        <v>345000</v>
      </c>
      <c r="Y15" s="17">
        <f ca="1">DATEDIF(salarydata[[#This Row],[Hire Date]], TODAY(), "Y")</f>
        <v>2</v>
      </c>
      <c r="AB15" s="2" t="s">
        <v>199</v>
      </c>
      <c r="AC15" s="3">
        <v>0.05</v>
      </c>
    </row>
    <row r="16" spans="1:29" x14ac:dyDescent="0.3">
      <c r="A16" t="s">
        <v>87</v>
      </c>
      <c r="B16" t="s">
        <v>88</v>
      </c>
      <c r="C16" t="s">
        <v>89</v>
      </c>
      <c r="D16" t="s">
        <v>30</v>
      </c>
      <c r="E16" t="s">
        <v>16</v>
      </c>
      <c r="F16">
        <v>45</v>
      </c>
      <c r="G16" t="s">
        <v>51</v>
      </c>
      <c r="H16" s="1">
        <v>42174</v>
      </c>
      <c r="I16">
        <v>8000000015</v>
      </c>
      <c r="J16">
        <v>300000</v>
      </c>
      <c r="K16">
        <v>15</v>
      </c>
      <c r="L16" t="s">
        <v>39</v>
      </c>
      <c r="M16">
        <f>salarydata[[#This Row],[Basic Salary]]*$AC$13</f>
        <v>3000</v>
      </c>
      <c r="N16">
        <f>salarydata[[#This Row],[Basic Salary]]*$AC$14</f>
        <v>45000</v>
      </c>
      <c r="O16">
        <f>salarydata[[#This Row],[Basic Salary]]*$AC$15</f>
        <v>15000</v>
      </c>
      <c r="P16">
        <f>salarydata[[#This Row],[Basic Salary]]*$AC$16</f>
        <v>6000</v>
      </c>
      <c r="Q16">
        <f>salarydata[[#This Row],[Basic Salary]]*$AC$17</f>
        <v>6000</v>
      </c>
      <c r="R16">
        <f>salarydata[[#This Row],[Basic Salary]]+salarydata[[#This Row],[ -Performance Bonus (1%)]]+salarydata[[#This Row],[- House Allowance (15%)]]+salarydata[[#This Row],[- Transport Allowance (5%)]]+salarydata[[#This Row],[- wordrope Allowance (2%)]]+salarydata[[#This Row],[- Over Time(2%)]]</f>
        <v>375000</v>
      </c>
      <c r="S16">
        <f>salarydata[[#This Row],[Basic Salary]]*$AC$19</f>
        <v>3000</v>
      </c>
      <c r="T16">
        <f>salarydata[[#This Row],[Basic Salary]]*tax</f>
        <v>15000</v>
      </c>
      <c r="U16">
        <f>salarydata[[#This Row],[Basic Salary]]*healthinsurancepremium</f>
        <v>6000</v>
      </c>
      <c r="V16">
        <f>salarydata[[#This Row],[Basic Salary]]*retirementplan</f>
        <v>6000</v>
      </c>
      <c r="W16">
        <f>salarydata[[#This Row],[- Loan(1%)]]+salarydata[[#This Row],[- Tax(5%)]]+salarydata[[#This Row],[ - Health Insurance Premium(2%)]]+salarydata[[#This Row],[    - Retirement Plan(2%)]]</f>
        <v>30000</v>
      </c>
      <c r="X16">
        <f>salarydata[[#This Row],[- Gross Salary]]-salarydata[[#This Row],[-Total DEDUCTION.]]</f>
        <v>345000</v>
      </c>
      <c r="Y16" s="17">
        <f ca="1">DATEDIF(salarydata[[#This Row],[Hire Date]], TODAY(), "Y")</f>
        <v>11</v>
      </c>
      <c r="AB16" s="2" t="s">
        <v>200</v>
      </c>
      <c r="AC16" s="3">
        <v>0.02</v>
      </c>
    </row>
    <row r="17" spans="1:29" x14ac:dyDescent="0.3">
      <c r="A17" t="s">
        <v>147</v>
      </c>
      <c r="B17" t="s">
        <v>148</v>
      </c>
      <c r="C17" t="s">
        <v>22</v>
      </c>
      <c r="D17" t="s">
        <v>30</v>
      </c>
      <c r="E17" t="s">
        <v>16</v>
      </c>
      <c r="F17">
        <v>39</v>
      </c>
      <c r="G17" t="s">
        <v>44</v>
      </c>
      <c r="H17" s="1">
        <v>44137</v>
      </c>
      <c r="I17">
        <v>8000000031</v>
      </c>
      <c r="J17">
        <v>305000</v>
      </c>
      <c r="K17">
        <v>31</v>
      </c>
      <c r="L17" t="s">
        <v>39</v>
      </c>
      <c r="M17">
        <f>salarydata[[#This Row],[Basic Salary]]*$AC$13</f>
        <v>3050</v>
      </c>
      <c r="N17">
        <f>salarydata[[#This Row],[Basic Salary]]*$AC$14</f>
        <v>45750</v>
      </c>
      <c r="O17">
        <f>salarydata[[#This Row],[Basic Salary]]*$AC$15</f>
        <v>15250</v>
      </c>
      <c r="P17">
        <f>salarydata[[#This Row],[Basic Salary]]*$AC$16</f>
        <v>6100</v>
      </c>
      <c r="Q17">
        <f>salarydata[[#This Row],[Basic Salary]]*$AC$17</f>
        <v>6100</v>
      </c>
      <c r="R17">
        <f>salarydata[[#This Row],[Basic Salary]]+salarydata[[#This Row],[ -Performance Bonus (1%)]]+salarydata[[#This Row],[- House Allowance (15%)]]+salarydata[[#This Row],[- Transport Allowance (5%)]]+salarydata[[#This Row],[- wordrope Allowance (2%)]]+salarydata[[#This Row],[- Over Time(2%)]]</f>
        <v>381250</v>
      </c>
      <c r="S17">
        <f>salarydata[[#This Row],[Basic Salary]]*$AC$19</f>
        <v>3050</v>
      </c>
      <c r="T17">
        <f>salarydata[[#This Row],[Basic Salary]]*tax</f>
        <v>15250</v>
      </c>
      <c r="U17">
        <f>salarydata[[#This Row],[Basic Salary]]*healthinsurancepremium</f>
        <v>6100</v>
      </c>
      <c r="V17">
        <f>salarydata[[#This Row],[Basic Salary]]*retirementplan</f>
        <v>6100</v>
      </c>
      <c r="W17">
        <f>salarydata[[#This Row],[- Loan(1%)]]+salarydata[[#This Row],[- Tax(5%)]]+salarydata[[#This Row],[ - Health Insurance Premium(2%)]]+salarydata[[#This Row],[    - Retirement Plan(2%)]]</f>
        <v>30500</v>
      </c>
      <c r="X17">
        <f>salarydata[[#This Row],[- Gross Salary]]-salarydata[[#This Row],[-Total DEDUCTION.]]</f>
        <v>350750</v>
      </c>
      <c r="Y17" s="17">
        <f ca="1">DATEDIF(salarydata[[#This Row],[Hire Date]], TODAY(), "Y")</f>
        <v>5</v>
      </c>
      <c r="AB17" s="2" t="s">
        <v>201</v>
      </c>
      <c r="AC17" s="3">
        <v>0.02</v>
      </c>
    </row>
    <row r="18" spans="1:29" x14ac:dyDescent="0.3">
      <c r="A18" t="s">
        <v>183</v>
      </c>
      <c r="B18" t="s">
        <v>184</v>
      </c>
      <c r="C18" t="s">
        <v>29</v>
      </c>
      <c r="D18" t="s">
        <v>50</v>
      </c>
      <c r="E18" t="s">
        <v>16</v>
      </c>
      <c r="F18">
        <v>38</v>
      </c>
      <c r="G18" t="s">
        <v>31</v>
      </c>
      <c r="H18" s="1">
        <v>43512</v>
      </c>
      <c r="I18">
        <v>8000000045</v>
      </c>
      <c r="J18">
        <v>305000</v>
      </c>
      <c r="K18">
        <v>45</v>
      </c>
      <c r="L18" t="s">
        <v>26</v>
      </c>
      <c r="M18">
        <f>salarydata[[#This Row],[Basic Salary]]*$AC$13</f>
        <v>3050</v>
      </c>
      <c r="N18">
        <f>salarydata[[#This Row],[Basic Salary]]*$AC$14</f>
        <v>45750</v>
      </c>
      <c r="O18">
        <f>salarydata[[#This Row],[Basic Salary]]*$AC$15</f>
        <v>15250</v>
      </c>
      <c r="P18">
        <f>salarydata[[#This Row],[Basic Salary]]*$AC$16</f>
        <v>6100</v>
      </c>
      <c r="Q18">
        <f>salarydata[[#This Row],[Basic Salary]]*$AC$17</f>
        <v>6100</v>
      </c>
      <c r="R18">
        <f>salarydata[[#This Row],[Basic Salary]]+salarydata[[#This Row],[ -Performance Bonus (1%)]]+salarydata[[#This Row],[- House Allowance (15%)]]+salarydata[[#This Row],[- Transport Allowance (5%)]]+salarydata[[#This Row],[- wordrope Allowance (2%)]]+salarydata[[#This Row],[- Over Time(2%)]]</f>
        <v>381250</v>
      </c>
      <c r="S18">
        <f>salarydata[[#This Row],[Basic Salary]]*$AC$19</f>
        <v>3050</v>
      </c>
      <c r="T18">
        <f>salarydata[[#This Row],[Basic Salary]]*tax</f>
        <v>15250</v>
      </c>
      <c r="U18">
        <f>salarydata[[#This Row],[Basic Salary]]*healthinsurancepremium</f>
        <v>6100</v>
      </c>
      <c r="V18">
        <f>salarydata[[#This Row],[Basic Salary]]*retirementplan</f>
        <v>6100</v>
      </c>
      <c r="W18">
        <f>salarydata[[#This Row],[- Loan(1%)]]+salarydata[[#This Row],[- Tax(5%)]]+salarydata[[#This Row],[ - Health Insurance Premium(2%)]]+salarydata[[#This Row],[    - Retirement Plan(2%)]]</f>
        <v>30500</v>
      </c>
      <c r="X18">
        <f>salarydata[[#This Row],[- Gross Salary]]-salarydata[[#This Row],[-Total DEDUCTION.]]</f>
        <v>350750</v>
      </c>
      <c r="Y18" s="17">
        <f ca="1">DATEDIF(salarydata[[#This Row],[Hire Date]], TODAY(), "Y")</f>
        <v>7</v>
      </c>
      <c r="AB18" s="2" t="s">
        <v>202</v>
      </c>
    </row>
    <row r="19" spans="1:29" x14ac:dyDescent="0.3">
      <c r="A19" t="s">
        <v>76</v>
      </c>
      <c r="B19" t="s">
        <v>77</v>
      </c>
      <c r="C19" t="s">
        <v>78</v>
      </c>
      <c r="D19" t="s">
        <v>43</v>
      </c>
      <c r="E19" t="s">
        <v>24</v>
      </c>
      <c r="F19">
        <v>28</v>
      </c>
      <c r="G19" t="s">
        <v>79</v>
      </c>
      <c r="H19" s="1">
        <v>44854</v>
      </c>
      <c r="I19">
        <v>8000000012</v>
      </c>
      <c r="J19">
        <v>310000</v>
      </c>
      <c r="K19">
        <v>12</v>
      </c>
      <c r="L19" t="s">
        <v>19</v>
      </c>
      <c r="M19">
        <f>salarydata[[#This Row],[Basic Salary]]*$AC$13</f>
        <v>3100</v>
      </c>
      <c r="N19">
        <f>salarydata[[#This Row],[Basic Salary]]*$AC$14</f>
        <v>46500</v>
      </c>
      <c r="O19">
        <f>salarydata[[#This Row],[Basic Salary]]*$AC$15</f>
        <v>15500</v>
      </c>
      <c r="P19">
        <f>salarydata[[#This Row],[Basic Salary]]*$AC$16</f>
        <v>6200</v>
      </c>
      <c r="Q19">
        <f>salarydata[[#This Row],[Basic Salary]]*$AC$17</f>
        <v>6200</v>
      </c>
      <c r="R19">
        <f>salarydata[[#This Row],[Basic Salary]]+salarydata[[#This Row],[ -Performance Bonus (1%)]]+salarydata[[#This Row],[- House Allowance (15%)]]+salarydata[[#This Row],[- Transport Allowance (5%)]]+salarydata[[#This Row],[- wordrope Allowance (2%)]]+salarydata[[#This Row],[- Over Time(2%)]]</f>
        <v>387500</v>
      </c>
      <c r="S19">
        <f>salarydata[[#This Row],[Basic Salary]]*$AC$19</f>
        <v>3100</v>
      </c>
      <c r="T19">
        <f>salarydata[[#This Row],[Basic Salary]]*tax</f>
        <v>15500</v>
      </c>
      <c r="U19">
        <f>salarydata[[#This Row],[Basic Salary]]*healthinsurancepremium</f>
        <v>6200</v>
      </c>
      <c r="V19">
        <f>salarydata[[#This Row],[Basic Salary]]*retirementplan</f>
        <v>6200</v>
      </c>
      <c r="W19">
        <f>salarydata[[#This Row],[- Loan(1%)]]+salarydata[[#This Row],[- Tax(5%)]]+salarydata[[#This Row],[ - Health Insurance Premium(2%)]]+salarydata[[#This Row],[    - Retirement Plan(2%)]]</f>
        <v>31000</v>
      </c>
      <c r="X19">
        <f>salarydata[[#This Row],[- Gross Salary]]-salarydata[[#This Row],[-Total DEDUCTION.]]</f>
        <v>356500</v>
      </c>
      <c r="Y19" s="17">
        <f ca="1">DATEDIF(salarydata[[#This Row],[Hire Date]], TODAY(), "Y")</f>
        <v>3</v>
      </c>
      <c r="AB19" s="2" t="s">
        <v>203</v>
      </c>
      <c r="AC19" s="3">
        <v>0.01</v>
      </c>
    </row>
    <row r="20" spans="1:29" x14ac:dyDescent="0.3">
      <c r="A20" t="s">
        <v>114</v>
      </c>
      <c r="B20" t="s">
        <v>115</v>
      </c>
      <c r="C20" t="s">
        <v>29</v>
      </c>
      <c r="D20" t="s">
        <v>56</v>
      </c>
      <c r="E20" t="s">
        <v>24</v>
      </c>
      <c r="F20">
        <v>27</v>
      </c>
      <c r="G20" t="s">
        <v>57</v>
      </c>
      <c r="H20" s="1">
        <v>45446</v>
      </c>
      <c r="I20">
        <v>8000000022</v>
      </c>
      <c r="J20">
        <v>310000</v>
      </c>
      <c r="K20">
        <v>22</v>
      </c>
      <c r="L20" t="s">
        <v>46</v>
      </c>
      <c r="M20">
        <f>salarydata[[#This Row],[Basic Salary]]*$AC$13</f>
        <v>3100</v>
      </c>
      <c r="N20">
        <f>salarydata[[#This Row],[Basic Salary]]*$AC$14</f>
        <v>46500</v>
      </c>
      <c r="O20">
        <f>salarydata[[#This Row],[Basic Salary]]*$AC$15</f>
        <v>15500</v>
      </c>
      <c r="P20">
        <f>salarydata[[#This Row],[Basic Salary]]*$AC$16</f>
        <v>6200</v>
      </c>
      <c r="Q20">
        <f>salarydata[[#This Row],[Basic Salary]]*$AC$17</f>
        <v>6200</v>
      </c>
      <c r="R20">
        <f>salarydata[[#This Row],[Basic Salary]]+salarydata[[#This Row],[ -Performance Bonus (1%)]]+salarydata[[#This Row],[- House Allowance (15%)]]+salarydata[[#This Row],[- Transport Allowance (5%)]]+salarydata[[#This Row],[- wordrope Allowance (2%)]]+salarydata[[#This Row],[- Over Time(2%)]]</f>
        <v>387500</v>
      </c>
      <c r="S20">
        <f>salarydata[[#This Row],[Basic Salary]]*$AC$19</f>
        <v>3100</v>
      </c>
      <c r="T20">
        <f>salarydata[[#This Row],[Basic Salary]]*tax</f>
        <v>15500</v>
      </c>
      <c r="U20">
        <f>salarydata[[#This Row],[Basic Salary]]*healthinsurancepremium</f>
        <v>6200</v>
      </c>
      <c r="V20">
        <f>salarydata[[#This Row],[Basic Salary]]*retirementplan</f>
        <v>6200</v>
      </c>
      <c r="W20">
        <f>salarydata[[#This Row],[- Loan(1%)]]+salarydata[[#This Row],[- Tax(5%)]]+salarydata[[#This Row],[ - Health Insurance Premium(2%)]]+salarydata[[#This Row],[    - Retirement Plan(2%)]]</f>
        <v>31000</v>
      </c>
      <c r="X20">
        <f>salarydata[[#This Row],[- Gross Salary]]-salarydata[[#This Row],[-Total DEDUCTION.]]</f>
        <v>356500</v>
      </c>
      <c r="Y20" s="17">
        <f ca="1">DATEDIF(salarydata[[#This Row],[Hire Date]], TODAY(), "Y")</f>
        <v>2</v>
      </c>
      <c r="AB20" s="2" t="s">
        <v>204</v>
      </c>
      <c r="AC20" s="3">
        <v>0.05</v>
      </c>
    </row>
    <row r="21" spans="1:29" x14ac:dyDescent="0.3">
      <c r="A21" t="s">
        <v>136</v>
      </c>
      <c r="B21" t="s">
        <v>137</v>
      </c>
      <c r="C21" t="s">
        <v>138</v>
      </c>
      <c r="D21" t="s">
        <v>43</v>
      </c>
      <c r="E21" t="s">
        <v>24</v>
      </c>
      <c r="F21">
        <v>32</v>
      </c>
      <c r="G21" t="s">
        <v>17</v>
      </c>
      <c r="H21" s="1">
        <v>44440</v>
      </c>
      <c r="I21">
        <v>8000000028</v>
      </c>
      <c r="J21">
        <v>315000</v>
      </c>
      <c r="K21">
        <v>28</v>
      </c>
      <c r="L21" t="s">
        <v>19</v>
      </c>
      <c r="M21">
        <f>salarydata[[#This Row],[Basic Salary]]*$AC$13</f>
        <v>3150</v>
      </c>
      <c r="N21">
        <f>salarydata[[#This Row],[Basic Salary]]*$AC$14</f>
        <v>47250</v>
      </c>
      <c r="O21">
        <f>salarydata[[#This Row],[Basic Salary]]*$AC$15</f>
        <v>15750</v>
      </c>
      <c r="P21">
        <f>salarydata[[#This Row],[Basic Salary]]*$AC$16</f>
        <v>6300</v>
      </c>
      <c r="Q21">
        <f>salarydata[[#This Row],[Basic Salary]]*$AC$17</f>
        <v>6300</v>
      </c>
      <c r="R21">
        <f>salarydata[[#This Row],[Basic Salary]]+salarydata[[#This Row],[ -Performance Bonus (1%)]]+salarydata[[#This Row],[- House Allowance (15%)]]+salarydata[[#This Row],[- Transport Allowance (5%)]]+salarydata[[#This Row],[- wordrope Allowance (2%)]]+salarydata[[#This Row],[- Over Time(2%)]]</f>
        <v>393750</v>
      </c>
      <c r="S21">
        <f>salarydata[[#This Row],[Basic Salary]]*$AC$19</f>
        <v>3150</v>
      </c>
      <c r="T21">
        <f>salarydata[[#This Row],[Basic Salary]]*tax</f>
        <v>15750</v>
      </c>
      <c r="U21">
        <f>salarydata[[#This Row],[Basic Salary]]*healthinsurancepremium</f>
        <v>6300</v>
      </c>
      <c r="V21">
        <f>salarydata[[#This Row],[Basic Salary]]*retirementplan</f>
        <v>6300</v>
      </c>
      <c r="W21">
        <f>salarydata[[#This Row],[- Loan(1%)]]+salarydata[[#This Row],[- Tax(5%)]]+salarydata[[#This Row],[ - Health Insurance Premium(2%)]]+salarydata[[#This Row],[    - Retirement Plan(2%)]]</f>
        <v>31500</v>
      </c>
      <c r="X21">
        <f>salarydata[[#This Row],[- Gross Salary]]-salarydata[[#This Row],[-Total DEDUCTION.]]</f>
        <v>362250</v>
      </c>
      <c r="Y21" s="17">
        <f ca="1">DATEDIF(salarydata[[#This Row],[Hire Date]], TODAY(), "Y")</f>
        <v>5</v>
      </c>
    </row>
    <row r="22" spans="1:29" x14ac:dyDescent="0.3">
      <c r="A22" t="s">
        <v>170</v>
      </c>
      <c r="B22" t="s">
        <v>171</v>
      </c>
      <c r="C22" t="s">
        <v>61</v>
      </c>
      <c r="D22" t="s">
        <v>30</v>
      </c>
      <c r="E22" t="s">
        <v>16</v>
      </c>
      <c r="F22">
        <v>46</v>
      </c>
      <c r="G22" t="s">
        <v>17</v>
      </c>
      <c r="H22" s="1">
        <v>42189</v>
      </c>
      <c r="I22">
        <v>8000000039</v>
      </c>
      <c r="J22">
        <v>315000</v>
      </c>
      <c r="K22">
        <v>39</v>
      </c>
      <c r="L22" t="s">
        <v>19</v>
      </c>
      <c r="M22">
        <f>salarydata[[#This Row],[Basic Salary]]*$AC$13</f>
        <v>3150</v>
      </c>
      <c r="N22">
        <f>salarydata[[#This Row],[Basic Salary]]*$AC$14</f>
        <v>47250</v>
      </c>
      <c r="O22">
        <f>salarydata[[#This Row],[Basic Salary]]*$AC$15</f>
        <v>15750</v>
      </c>
      <c r="P22">
        <f>salarydata[[#This Row],[Basic Salary]]*$AC$16</f>
        <v>6300</v>
      </c>
      <c r="Q22">
        <f>salarydata[[#This Row],[Basic Salary]]*$AC$17</f>
        <v>6300</v>
      </c>
      <c r="R22">
        <f>salarydata[[#This Row],[Basic Salary]]+salarydata[[#This Row],[ -Performance Bonus (1%)]]+salarydata[[#This Row],[- House Allowance (15%)]]+salarydata[[#This Row],[- Transport Allowance (5%)]]+salarydata[[#This Row],[- wordrope Allowance (2%)]]+salarydata[[#This Row],[- Over Time(2%)]]</f>
        <v>393750</v>
      </c>
      <c r="S22">
        <f>salarydata[[#This Row],[Basic Salary]]*$AC$19</f>
        <v>3150</v>
      </c>
      <c r="T22">
        <f>salarydata[[#This Row],[Basic Salary]]*tax</f>
        <v>15750</v>
      </c>
      <c r="U22">
        <f>salarydata[[#This Row],[Basic Salary]]*healthinsurancepremium</f>
        <v>6300</v>
      </c>
      <c r="V22">
        <f>salarydata[[#This Row],[Basic Salary]]*retirementplan</f>
        <v>6300</v>
      </c>
      <c r="W22">
        <f>salarydata[[#This Row],[- Loan(1%)]]+salarydata[[#This Row],[- Tax(5%)]]+salarydata[[#This Row],[ - Health Insurance Premium(2%)]]+salarydata[[#This Row],[    - Retirement Plan(2%)]]</f>
        <v>31500</v>
      </c>
      <c r="X22">
        <f>salarydata[[#This Row],[- Gross Salary]]-salarydata[[#This Row],[-Total DEDUCTION.]]</f>
        <v>362250</v>
      </c>
      <c r="Y22" s="17">
        <f ca="1">DATEDIF(salarydata[[#This Row],[Hire Date]], TODAY(), "Y")</f>
        <v>11</v>
      </c>
    </row>
    <row r="23" spans="1:29" x14ac:dyDescent="0.3">
      <c r="A23" t="s">
        <v>20</v>
      </c>
      <c r="B23" t="s">
        <v>21</v>
      </c>
      <c r="C23" t="s">
        <v>22</v>
      </c>
      <c r="D23" t="s">
        <v>23</v>
      </c>
      <c r="E23" t="s">
        <v>24</v>
      </c>
      <c r="F23">
        <v>34</v>
      </c>
      <c r="G23" t="s">
        <v>25</v>
      </c>
      <c r="H23" s="1">
        <v>43746</v>
      </c>
      <c r="I23">
        <v>8000000002</v>
      </c>
      <c r="J23">
        <v>320000</v>
      </c>
      <c r="K23">
        <v>2</v>
      </c>
      <c r="L23" t="s">
        <v>26</v>
      </c>
      <c r="M23">
        <f>salarydata[[#This Row],[Basic Salary]]*$AC$13</f>
        <v>3200</v>
      </c>
      <c r="N23">
        <f>salarydata[[#This Row],[Basic Salary]]*$AC$14</f>
        <v>48000</v>
      </c>
      <c r="O23">
        <f>salarydata[[#This Row],[Basic Salary]]*$AC$15</f>
        <v>16000</v>
      </c>
      <c r="P23">
        <f>salarydata[[#This Row],[Basic Salary]]*$AC$16</f>
        <v>6400</v>
      </c>
      <c r="Q23">
        <f>salarydata[[#This Row],[Basic Salary]]*$AC$17</f>
        <v>6400</v>
      </c>
      <c r="R23">
        <f>salarydata[[#This Row],[Basic Salary]]+salarydata[[#This Row],[ -Performance Bonus (1%)]]+salarydata[[#This Row],[- House Allowance (15%)]]+salarydata[[#This Row],[- Transport Allowance (5%)]]+salarydata[[#This Row],[- wordrope Allowance (2%)]]+salarydata[[#This Row],[- Over Time(2%)]]</f>
        <v>400000</v>
      </c>
      <c r="S23">
        <f>salarydata[[#This Row],[Basic Salary]]*$AC$19</f>
        <v>3200</v>
      </c>
      <c r="T23">
        <f>salarydata[[#This Row],[Basic Salary]]*tax</f>
        <v>16000</v>
      </c>
      <c r="U23">
        <f>salarydata[[#This Row],[Basic Salary]]*healthinsurancepremium</f>
        <v>6400</v>
      </c>
      <c r="V23">
        <f>salarydata[[#This Row],[Basic Salary]]*retirementplan</f>
        <v>6400</v>
      </c>
      <c r="W23">
        <f>salarydata[[#This Row],[- Loan(1%)]]+salarydata[[#This Row],[- Tax(5%)]]+salarydata[[#This Row],[ - Health Insurance Premium(2%)]]+salarydata[[#This Row],[    - Retirement Plan(2%)]]</f>
        <v>32000</v>
      </c>
      <c r="X23">
        <f>salarydata[[#This Row],[- Gross Salary]]-salarydata[[#This Row],[-Total DEDUCTION.]]</f>
        <v>368000</v>
      </c>
      <c r="Y23" s="17">
        <f ca="1">DATEDIF(salarydata[[#This Row],[Hire Date]], TODAY(), "Y")</f>
        <v>6</v>
      </c>
    </row>
    <row r="24" spans="1:29" x14ac:dyDescent="0.3">
      <c r="A24" t="s">
        <v>189</v>
      </c>
      <c r="B24" t="s">
        <v>127</v>
      </c>
      <c r="C24" t="s">
        <v>74</v>
      </c>
      <c r="D24" t="s">
        <v>30</v>
      </c>
      <c r="E24" t="s">
        <v>16</v>
      </c>
      <c r="F24">
        <v>43</v>
      </c>
      <c r="G24" t="s">
        <v>44</v>
      </c>
      <c r="H24" s="1">
        <v>42807</v>
      </c>
      <c r="I24">
        <v>8000000047</v>
      </c>
      <c r="J24">
        <v>320000</v>
      </c>
      <c r="K24">
        <v>47</v>
      </c>
      <c r="L24" t="s">
        <v>39</v>
      </c>
      <c r="M24">
        <f>salarydata[[#This Row],[Basic Salary]]*$AC$13</f>
        <v>3200</v>
      </c>
      <c r="N24">
        <f>salarydata[[#This Row],[Basic Salary]]*$AC$14</f>
        <v>48000</v>
      </c>
      <c r="O24">
        <f>salarydata[[#This Row],[Basic Salary]]*$AC$15</f>
        <v>16000</v>
      </c>
      <c r="P24">
        <f>salarydata[[#This Row],[Basic Salary]]*$AC$16</f>
        <v>6400</v>
      </c>
      <c r="Q24">
        <f>salarydata[[#This Row],[Basic Salary]]*$AC$17</f>
        <v>6400</v>
      </c>
      <c r="R24">
        <f>salarydata[[#This Row],[Basic Salary]]+salarydata[[#This Row],[ -Performance Bonus (1%)]]+salarydata[[#This Row],[- House Allowance (15%)]]+salarydata[[#This Row],[- Transport Allowance (5%)]]+salarydata[[#This Row],[- wordrope Allowance (2%)]]+salarydata[[#This Row],[- Over Time(2%)]]</f>
        <v>400000</v>
      </c>
      <c r="S24">
        <f>salarydata[[#This Row],[Basic Salary]]*$AC$19</f>
        <v>3200</v>
      </c>
      <c r="T24">
        <f>salarydata[[#This Row],[Basic Salary]]*tax</f>
        <v>16000</v>
      </c>
      <c r="U24">
        <f>salarydata[[#This Row],[Basic Salary]]*healthinsurancepremium</f>
        <v>6400</v>
      </c>
      <c r="V24">
        <f>salarydata[[#This Row],[Basic Salary]]*retirementplan</f>
        <v>6400</v>
      </c>
      <c r="W24">
        <f>salarydata[[#This Row],[- Loan(1%)]]+salarydata[[#This Row],[- Tax(5%)]]+salarydata[[#This Row],[ - Health Insurance Premium(2%)]]+salarydata[[#This Row],[    - Retirement Plan(2%)]]</f>
        <v>32000</v>
      </c>
      <c r="X24">
        <f>salarydata[[#This Row],[- Gross Salary]]-salarydata[[#This Row],[-Total DEDUCTION.]]</f>
        <v>368000</v>
      </c>
      <c r="Y24" s="17">
        <f ca="1">DATEDIF(salarydata[[#This Row],[Hire Date]], TODAY(), "Y")</f>
        <v>9</v>
      </c>
    </row>
    <row r="25" spans="1:29" x14ac:dyDescent="0.3">
      <c r="A25" t="s">
        <v>107</v>
      </c>
      <c r="B25" t="s">
        <v>108</v>
      </c>
      <c r="C25" t="s">
        <v>109</v>
      </c>
      <c r="D25" t="s">
        <v>43</v>
      </c>
      <c r="E25" t="s">
        <v>24</v>
      </c>
      <c r="F25">
        <v>33</v>
      </c>
      <c r="G25" t="s">
        <v>66</v>
      </c>
      <c r="H25" s="1">
        <v>44079</v>
      </c>
      <c r="I25">
        <v>8000000020</v>
      </c>
      <c r="J25">
        <v>325000</v>
      </c>
      <c r="K25">
        <v>20</v>
      </c>
      <c r="L25" t="s">
        <v>39</v>
      </c>
      <c r="M25">
        <f>salarydata[[#This Row],[Basic Salary]]*$AC$13</f>
        <v>3250</v>
      </c>
      <c r="N25">
        <f>salarydata[[#This Row],[Basic Salary]]*$AC$14</f>
        <v>48750</v>
      </c>
      <c r="O25">
        <f>salarydata[[#This Row],[Basic Salary]]*$AC$15</f>
        <v>16250</v>
      </c>
      <c r="P25">
        <f>salarydata[[#This Row],[Basic Salary]]*$AC$16</f>
        <v>6500</v>
      </c>
      <c r="Q25">
        <f>salarydata[[#This Row],[Basic Salary]]*$AC$17</f>
        <v>6500</v>
      </c>
      <c r="R25">
        <f>salarydata[[#This Row],[Basic Salary]]+salarydata[[#This Row],[ -Performance Bonus (1%)]]+salarydata[[#This Row],[- House Allowance (15%)]]+salarydata[[#This Row],[- Transport Allowance (5%)]]+salarydata[[#This Row],[- wordrope Allowance (2%)]]+salarydata[[#This Row],[- Over Time(2%)]]</f>
        <v>406250</v>
      </c>
      <c r="S25">
        <f>salarydata[[#This Row],[Basic Salary]]*$AC$19</f>
        <v>3250</v>
      </c>
      <c r="T25">
        <f>salarydata[[#This Row],[Basic Salary]]*tax</f>
        <v>16250</v>
      </c>
      <c r="U25">
        <f>salarydata[[#This Row],[Basic Salary]]*healthinsurancepremium</f>
        <v>6500</v>
      </c>
      <c r="V25">
        <f>salarydata[[#This Row],[Basic Salary]]*retirementplan</f>
        <v>6500</v>
      </c>
      <c r="W25">
        <f>salarydata[[#This Row],[- Loan(1%)]]+salarydata[[#This Row],[- Tax(5%)]]+salarydata[[#This Row],[ - Health Insurance Premium(2%)]]+salarydata[[#This Row],[    - Retirement Plan(2%)]]</f>
        <v>32500</v>
      </c>
      <c r="X25">
        <f>salarydata[[#This Row],[- Gross Salary]]-salarydata[[#This Row],[-Total DEDUCTION.]]</f>
        <v>373750</v>
      </c>
      <c r="Y25" s="17">
        <f ca="1">DATEDIF(salarydata[[#This Row],[Hire Date]], TODAY(), "Y")</f>
        <v>6</v>
      </c>
    </row>
    <row r="26" spans="1:29" x14ac:dyDescent="0.3">
      <c r="A26" t="s">
        <v>181</v>
      </c>
      <c r="B26" t="s">
        <v>182</v>
      </c>
      <c r="C26" t="s">
        <v>83</v>
      </c>
      <c r="D26" t="s">
        <v>43</v>
      </c>
      <c r="E26" t="s">
        <v>24</v>
      </c>
      <c r="F26">
        <v>29</v>
      </c>
      <c r="G26" t="s">
        <v>51</v>
      </c>
      <c r="H26" s="1">
        <v>45144</v>
      </c>
      <c r="I26">
        <v>8000000044</v>
      </c>
      <c r="J26">
        <v>325000</v>
      </c>
      <c r="K26">
        <v>44</v>
      </c>
      <c r="L26" t="s">
        <v>19</v>
      </c>
      <c r="M26">
        <f>salarydata[[#This Row],[Basic Salary]]*$AC$13</f>
        <v>3250</v>
      </c>
      <c r="N26">
        <f>salarydata[[#This Row],[Basic Salary]]*$AC$14</f>
        <v>48750</v>
      </c>
      <c r="O26">
        <f>salarydata[[#This Row],[Basic Salary]]*$AC$15</f>
        <v>16250</v>
      </c>
      <c r="P26">
        <f>salarydata[[#This Row],[Basic Salary]]*$AC$16</f>
        <v>6500</v>
      </c>
      <c r="Q26">
        <f>salarydata[[#This Row],[Basic Salary]]*$AC$17</f>
        <v>6500</v>
      </c>
      <c r="R26">
        <f>salarydata[[#This Row],[Basic Salary]]+salarydata[[#This Row],[ -Performance Bonus (1%)]]+salarydata[[#This Row],[- House Allowance (15%)]]+salarydata[[#This Row],[- Transport Allowance (5%)]]+salarydata[[#This Row],[- wordrope Allowance (2%)]]+salarydata[[#This Row],[- Over Time(2%)]]</f>
        <v>406250</v>
      </c>
      <c r="S26">
        <f>salarydata[[#This Row],[Basic Salary]]*$AC$19</f>
        <v>3250</v>
      </c>
      <c r="T26">
        <f>salarydata[[#This Row],[Basic Salary]]*tax</f>
        <v>16250</v>
      </c>
      <c r="U26">
        <f>salarydata[[#This Row],[Basic Salary]]*healthinsurancepremium</f>
        <v>6500</v>
      </c>
      <c r="V26">
        <f>salarydata[[#This Row],[Basic Salary]]*retirementplan</f>
        <v>6500</v>
      </c>
      <c r="W26">
        <f>salarydata[[#This Row],[- Loan(1%)]]+salarydata[[#This Row],[- Tax(5%)]]+salarydata[[#This Row],[ - Health Insurance Premium(2%)]]+salarydata[[#This Row],[    - Retirement Plan(2%)]]</f>
        <v>32500</v>
      </c>
      <c r="X26">
        <f>salarydata[[#This Row],[- Gross Salary]]-salarydata[[#This Row],[-Total DEDUCTION.]]</f>
        <v>373750</v>
      </c>
      <c r="Y26" s="17">
        <f ca="1">DATEDIF(salarydata[[#This Row],[Hire Date]], TODAY(), "Y")</f>
        <v>3</v>
      </c>
    </row>
    <row r="27" spans="1:29" x14ac:dyDescent="0.3">
      <c r="A27" t="s">
        <v>84</v>
      </c>
      <c r="B27" t="s">
        <v>85</v>
      </c>
      <c r="C27" t="s">
        <v>86</v>
      </c>
      <c r="D27" t="s">
        <v>56</v>
      </c>
      <c r="E27" t="s">
        <v>24</v>
      </c>
      <c r="F27">
        <v>29</v>
      </c>
      <c r="G27" t="s">
        <v>31</v>
      </c>
      <c r="H27" s="1">
        <v>44785</v>
      </c>
      <c r="I27">
        <v>8000000014</v>
      </c>
      <c r="J27">
        <v>330000</v>
      </c>
      <c r="K27">
        <v>14</v>
      </c>
      <c r="L27" t="s">
        <v>33</v>
      </c>
      <c r="M27">
        <f>salarydata[[#This Row],[Basic Salary]]*$AC$13</f>
        <v>3300</v>
      </c>
      <c r="N27">
        <f>salarydata[[#This Row],[Basic Salary]]*$AC$14</f>
        <v>49500</v>
      </c>
      <c r="O27">
        <f>salarydata[[#This Row],[Basic Salary]]*$AC$15</f>
        <v>16500</v>
      </c>
      <c r="P27">
        <f>salarydata[[#This Row],[Basic Salary]]*$AC$16</f>
        <v>6600</v>
      </c>
      <c r="Q27">
        <f>salarydata[[#This Row],[Basic Salary]]*$AC$17</f>
        <v>6600</v>
      </c>
      <c r="R27">
        <f>salarydata[[#This Row],[Basic Salary]]+salarydata[[#This Row],[ -Performance Bonus (1%)]]+salarydata[[#This Row],[- House Allowance (15%)]]+salarydata[[#This Row],[- Transport Allowance (5%)]]+salarydata[[#This Row],[- wordrope Allowance (2%)]]+salarydata[[#This Row],[- Over Time(2%)]]</f>
        <v>412500</v>
      </c>
      <c r="S27">
        <f>salarydata[[#This Row],[Basic Salary]]*$AC$19</f>
        <v>3300</v>
      </c>
      <c r="T27">
        <f>salarydata[[#This Row],[Basic Salary]]*tax</f>
        <v>16500</v>
      </c>
      <c r="U27">
        <f>salarydata[[#This Row],[Basic Salary]]*healthinsurancepremium</f>
        <v>6600</v>
      </c>
      <c r="V27">
        <f>salarydata[[#This Row],[Basic Salary]]*retirementplan</f>
        <v>6600</v>
      </c>
      <c r="W27">
        <f>salarydata[[#This Row],[- Loan(1%)]]+salarydata[[#This Row],[- Tax(5%)]]+salarydata[[#This Row],[ - Health Insurance Premium(2%)]]+salarydata[[#This Row],[    - Retirement Plan(2%)]]</f>
        <v>33000</v>
      </c>
      <c r="X27">
        <f>salarydata[[#This Row],[- Gross Salary]]-salarydata[[#This Row],[-Total DEDUCTION.]]</f>
        <v>379500</v>
      </c>
      <c r="Y27" s="17">
        <f ca="1">DATEDIF(salarydata[[#This Row],[Hire Date]], TODAY(), "Y")</f>
        <v>4</v>
      </c>
    </row>
    <row r="28" spans="1:29" x14ac:dyDescent="0.3">
      <c r="A28" t="s">
        <v>67</v>
      </c>
      <c r="B28" t="s">
        <v>68</v>
      </c>
      <c r="C28" t="s">
        <v>69</v>
      </c>
      <c r="D28" t="s">
        <v>23</v>
      </c>
      <c r="E28" t="s">
        <v>24</v>
      </c>
      <c r="F28">
        <v>30</v>
      </c>
      <c r="G28" t="s">
        <v>70</v>
      </c>
      <c r="H28" s="1">
        <v>44402</v>
      </c>
      <c r="I28">
        <v>8000000010</v>
      </c>
      <c r="J28">
        <v>340000</v>
      </c>
      <c r="K28">
        <v>10</v>
      </c>
      <c r="L28" t="s">
        <v>39</v>
      </c>
      <c r="M28">
        <f>salarydata[[#This Row],[Basic Salary]]*$AC$13</f>
        <v>3400</v>
      </c>
      <c r="N28">
        <f>salarydata[[#This Row],[Basic Salary]]*$AC$14</f>
        <v>51000</v>
      </c>
      <c r="O28">
        <f>salarydata[[#This Row],[Basic Salary]]*$AC$15</f>
        <v>17000</v>
      </c>
      <c r="P28">
        <f>salarydata[[#This Row],[Basic Salary]]*$AC$16</f>
        <v>6800</v>
      </c>
      <c r="Q28">
        <f>salarydata[[#This Row],[Basic Salary]]*$AC$17</f>
        <v>6800</v>
      </c>
      <c r="R28">
        <f>salarydata[[#This Row],[Basic Salary]]+salarydata[[#This Row],[ -Performance Bonus (1%)]]+salarydata[[#This Row],[- House Allowance (15%)]]+salarydata[[#This Row],[- Transport Allowance (5%)]]+salarydata[[#This Row],[- wordrope Allowance (2%)]]+salarydata[[#This Row],[- Over Time(2%)]]</f>
        <v>425000</v>
      </c>
      <c r="S28">
        <f>salarydata[[#This Row],[Basic Salary]]*$AC$19</f>
        <v>3400</v>
      </c>
      <c r="T28">
        <f>salarydata[[#This Row],[Basic Salary]]*tax</f>
        <v>17000</v>
      </c>
      <c r="U28">
        <f>salarydata[[#This Row],[Basic Salary]]*healthinsurancepremium</f>
        <v>6800</v>
      </c>
      <c r="V28">
        <f>salarydata[[#This Row],[Basic Salary]]*retirementplan</f>
        <v>6800</v>
      </c>
      <c r="W28">
        <f>salarydata[[#This Row],[- Loan(1%)]]+salarydata[[#This Row],[- Tax(5%)]]+salarydata[[#This Row],[ - Health Insurance Premium(2%)]]+salarydata[[#This Row],[    - Retirement Plan(2%)]]</f>
        <v>34000</v>
      </c>
      <c r="X28">
        <f>salarydata[[#This Row],[- Gross Salary]]-salarydata[[#This Row],[-Total DEDUCTION.]]</f>
        <v>391000</v>
      </c>
      <c r="Y28" s="17">
        <f ca="1">DATEDIF(salarydata[[#This Row],[Hire Date]], TODAY(), "Y")</f>
        <v>5</v>
      </c>
    </row>
    <row r="29" spans="1:29" x14ac:dyDescent="0.3">
      <c r="A29" t="s">
        <v>161</v>
      </c>
      <c r="B29" t="s">
        <v>162</v>
      </c>
      <c r="C29" t="s">
        <v>163</v>
      </c>
      <c r="D29" t="s">
        <v>43</v>
      </c>
      <c r="E29" t="s">
        <v>24</v>
      </c>
      <c r="F29">
        <v>41</v>
      </c>
      <c r="G29" t="s">
        <v>38</v>
      </c>
      <c r="H29" s="1">
        <v>42760</v>
      </c>
      <c r="I29">
        <v>8000000036</v>
      </c>
      <c r="J29">
        <v>340000</v>
      </c>
      <c r="K29">
        <v>36</v>
      </c>
      <c r="L29" t="s">
        <v>33</v>
      </c>
      <c r="M29">
        <f>salarydata[[#This Row],[Basic Salary]]*$AC$13</f>
        <v>3400</v>
      </c>
      <c r="N29">
        <f>salarydata[[#This Row],[Basic Salary]]*$AC$14</f>
        <v>51000</v>
      </c>
      <c r="O29">
        <f>salarydata[[#This Row],[Basic Salary]]*$AC$15</f>
        <v>17000</v>
      </c>
      <c r="P29">
        <f>salarydata[[#This Row],[Basic Salary]]*$AC$16</f>
        <v>6800</v>
      </c>
      <c r="Q29">
        <f>salarydata[[#This Row],[Basic Salary]]*$AC$17</f>
        <v>6800</v>
      </c>
      <c r="R29">
        <f>salarydata[[#This Row],[Basic Salary]]+salarydata[[#This Row],[ -Performance Bonus (1%)]]+salarydata[[#This Row],[- House Allowance (15%)]]+salarydata[[#This Row],[- Transport Allowance (5%)]]+salarydata[[#This Row],[- wordrope Allowance (2%)]]+salarydata[[#This Row],[- Over Time(2%)]]</f>
        <v>425000</v>
      </c>
      <c r="S29">
        <f>salarydata[[#This Row],[Basic Salary]]*$AC$19</f>
        <v>3400</v>
      </c>
      <c r="T29">
        <f>salarydata[[#This Row],[Basic Salary]]*tax</f>
        <v>17000</v>
      </c>
      <c r="U29">
        <f>salarydata[[#This Row],[Basic Salary]]*healthinsurancepremium</f>
        <v>6800</v>
      </c>
      <c r="V29">
        <f>salarydata[[#This Row],[Basic Salary]]*retirementplan</f>
        <v>6800</v>
      </c>
      <c r="W29">
        <f>salarydata[[#This Row],[- Loan(1%)]]+salarydata[[#This Row],[- Tax(5%)]]+salarydata[[#This Row],[ - Health Insurance Premium(2%)]]+salarydata[[#This Row],[    - Retirement Plan(2%)]]</f>
        <v>34000</v>
      </c>
      <c r="X29">
        <f>salarydata[[#This Row],[- Gross Salary]]-salarydata[[#This Row],[-Total DEDUCTION.]]</f>
        <v>391000</v>
      </c>
      <c r="Y29" s="17">
        <f ca="1">DATEDIF(salarydata[[#This Row],[Hire Date]], TODAY(), "Y")</f>
        <v>9</v>
      </c>
    </row>
    <row r="30" spans="1:29" x14ac:dyDescent="0.3">
      <c r="A30" t="s">
        <v>144</v>
      </c>
      <c r="B30" t="s">
        <v>145</v>
      </c>
      <c r="C30" t="s">
        <v>146</v>
      </c>
      <c r="D30" t="s">
        <v>56</v>
      </c>
      <c r="E30" t="s">
        <v>24</v>
      </c>
      <c r="F30">
        <v>37</v>
      </c>
      <c r="G30" t="s">
        <v>31</v>
      </c>
      <c r="H30" s="1">
        <v>43230</v>
      </c>
      <c r="I30">
        <v>8000000030</v>
      </c>
      <c r="J30">
        <v>345000</v>
      </c>
      <c r="K30">
        <v>30</v>
      </c>
      <c r="L30" t="s">
        <v>33</v>
      </c>
      <c r="M30">
        <f>salarydata[[#This Row],[Basic Salary]]*$AC$13</f>
        <v>3450</v>
      </c>
      <c r="N30">
        <f>salarydata[[#This Row],[Basic Salary]]*$AC$14</f>
        <v>51750</v>
      </c>
      <c r="O30">
        <f>salarydata[[#This Row],[Basic Salary]]*$AC$15</f>
        <v>17250</v>
      </c>
      <c r="P30">
        <f>salarydata[[#This Row],[Basic Salary]]*$AC$16</f>
        <v>6900</v>
      </c>
      <c r="Q30">
        <f>salarydata[[#This Row],[Basic Salary]]*$AC$17</f>
        <v>6900</v>
      </c>
      <c r="R30">
        <f>salarydata[[#This Row],[Basic Salary]]+salarydata[[#This Row],[ -Performance Bonus (1%)]]+salarydata[[#This Row],[- House Allowance (15%)]]+salarydata[[#This Row],[- Transport Allowance (5%)]]+salarydata[[#This Row],[- wordrope Allowance (2%)]]+salarydata[[#This Row],[- Over Time(2%)]]</f>
        <v>431250</v>
      </c>
      <c r="S30">
        <f>salarydata[[#This Row],[Basic Salary]]*$AC$19</f>
        <v>3450</v>
      </c>
      <c r="T30">
        <f>salarydata[[#This Row],[Basic Salary]]*tax</f>
        <v>17250</v>
      </c>
      <c r="U30">
        <f>salarydata[[#This Row],[Basic Salary]]*healthinsurancepremium</f>
        <v>6900</v>
      </c>
      <c r="V30">
        <f>salarydata[[#This Row],[Basic Salary]]*retirementplan</f>
        <v>6900</v>
      </c>
      <c r="W30">
        <f>salarydata[[#This Row],[- Loan(1%)]]+salarydata[[#This Row],[- Tax(5%)]]+salarydata[[#This Row],[ - Health Insurance Premium(2%)]]+salarydata[[#This Row],[    - Retirement Plan(2%)]]</f>
        <v>34500</v>
      </c>
      <c r="X30">
        <f>salarydata[[#This Row],[- Gross Salary]]-salarydata[[#This Row],[-Total DEDUCTION.]]</f>
        <v>396750</v>
      </c>
      <c r="Y30" s="17">
        <f ca="1">DATEDIF(salarydata[[#This Row],[Hire Date]], TODAY(), "Y")</f>
        <v>8</v>
      </c>
    </row>
    <row r="31" spans="1:29" x14ac:dyDescent="0.3">
      <c r="A31" t="s">
        <v>53</v>
      </c>
      <c r="B31" t="s">
        <v>54</v>
      </c>
      <c r="C31" t="s">
        <v>55</v>
      </c>
      <c r="D31" t="s">
        <v>56</v>
      </c>
      <c r="E31" t="s">
        <v>16</v>
      </c>
      <c r="F31">
        <v>35</v>
      </c>
      <c r="G31" t="s">
        <v>57</v>
      </c>
      <c r="H31" s="1">
        <v>44092</v>
      </c>
      <c r="I31">
        <v>8000000007</v>
      </c>
      <c r="J31">
        <v>350000</v>
      </c>
      <c r="K31">
        <v>7</v>
      </c>
      <c r="L31" t="s">
        <v>19</v>
      </c>
      <c r="M31">
        <f>salarydata[[#This Row],[Basic Salary]]*$AC$13</f>
        <v>3500</v>
      </c>
      <c r="N31">
        <f>salarydata[[#This Row],[Basic Salary]]*$AC$14</f>
        <v>52500</v>
      </c>
      <c r="O31">
        <f>salarydata[[#This Row],[Basic Salary]]*$AC$15</f>
        <v>17500</v>
      </c>
      <c r="P31">
        <f>salarydata[[#This Row],[Basic Salary]]*$AC$16</f>
        <v>7000</v>
      </c>
      <c r="Q31">
        <f>salarydata[[#This Row],[Basic Salary]]*$AC$17</f>
        <v>7000</v>
      </c>
      <c r="R31">
        <f>salarydata[[#This Row],[Basic Salary]]+salarydata[[#This Row],[ -Performance Bonus (1%)]]+salarydata[[#This Row],[- House Allowance (15%)]]+salarydata[[#This Row],[- Transport Allowance (5%)]]+salarydata[[#This Row],[- wordrope Allowance (2%)]]+salarydata[[#This Row],[- Over Time(2%)]]</f>
        <v>437500</v>
      </c>
      <c r="S31">
        <f>salarydata[[#This Row],[Basic Salary]]*$AC$19</f>
        <v>3500</v>
      </c>
      <c r="T31">
        <f>salarydata[[#This Row],[Basic Salary]]*tax</f>
        <v>17500</v>
      </c>
      <c r="U31">
        <f>salarydata[[#This Row],[Basic Salary]]*healthinsurancepremium</f>
        <v>7000</v>
      </c>
      <c r="V31">
        <f>salarydata[[#This Row],[Basic Salary]]*retirementplan</f>
        <v>7000</v>
      </c>
      <c r="W31">
        <f>salarydata[[#This Row],[- Loan(1%)]]+salarydata[[#This Row],[- Tax(5%)]]+salarydata[[#This Row],[ - Health Insurance Premium(2%)]]+salarydata[[#This Row],[    - Retirement Plan(2%)]]</f>
        <v>35000</v>
      </c>
      <c r="X31">
        <f>salarydata[[#This Row],[- Gross Salary]]-salarydata[[#This Row],[-Total DEDUCTION.]]</f>
        <v>402500</v>
      </c>
      <c r="Y31" s="17">
        <f ca="1">DATEDIF(salarydata[[#This Row],[Hire Date]], TODAY(), "Y")</f>
        <v>5</v>
      </c>
    </row>
    <row r="32" spans="1:29" x14ac:dyDescent="0.3">
      <c r="A32" t="s">
        <v>156</v>
      </c>
      <c r="B32" t="s">
        <v>157</v>
      </c>
      <c r="C32" t="s">
        <v>97</v>
      </c>
      <c r="D32" t="s">
        <v>23</v>
      </c>
      <c r="E32" t="s">
        <v>24</v>
      </c>
      <c r="F32">
        <v>28</v>
      </c>
      <c r="G32" t="s">
        <v>57</v>
      </c>
      <c r="H32" s="1">
        <v>44988</v>
      </c>
      <c r="I32">
        <v>8000000034</v>
      </c>
      <c r="J32">
        <v>350000</v>
      </c>
      <c r="K32">
        <v>34</v>
      </c>
      <c r="L32" t="s">
        <v>19</v>
      </c>
      <c r="M32">
        <f>salarydata[[#This Row],[Basic Salary]]*$AC$13</f>
        <v>3500</v>
      </c>
      <c r="N32">
        <f>salarydata[[#This Row],[Basic Salary]]*$AC$14</f>
        <v>52500</v>
      </c>
      <c r="O32">
        <f>salarydata[[#This Row],[Basic Salary]]*$AC$15</f>
        <v>17500</v>
      </c>
      <c r="P32">
        <f>salarydata[[#This Row],[Basic Salary]]*$AC$16</f>
        <v>7000</v>
      </c>
      <c r="Q32">
        <f>salarydata[[#This Row],[Basic Salary]]*$AC$17</f>
        <v>7000</v>
      </c>
      <c r="R32">
        <f>salarydata[[#This Row],[Basic Salary]]+salarydata[[#This Row],[ -Performance Bonus (1%)]]+salarydata[[#This Row],[- House Allowance (15%)]]+salarydata[[#This Row],[- Transport Allowance (5%)]]+salarydata[[#This Row],[- wordrope Allowance (2%)]]+salarydata[[#This Row],[- Over Time(2%)]]</f>
        <v>437500</v>
      </c>
      <c r="S32">
        <f>salarydata[[#This Row],[Basic Salary]]*$AC$19</f>
        <v>3500</v>
      </c>
      <c r="T32">
        <f>salarydata[[#This Row],[Basic Salary]]*tax</f>
        <v>17500</v>
      </c>
      <c r="U32">
        <f>salarydata[[#This Row],[Basic Salary]]*healthinsurancepremium</f>
        <v>7000</v>
      </c>
      <c r="V32">
        <f>salarydata[[#This Row],[Basic Salary]]*retirementplan</f>
        <v>7000</v>
      </c>
      <c r="W32">
        <f>salarydata[[#This Row],[- Loan(1%)]]+salarydata[[#This Row],[- Tax(5%)]]+salarydata[[#This Row],[ - Health Insurance Premium(2%)]]+salarydata[[#This Row],[    - Retirement Plan(2%)]]</f>
        <v>35000</v>
      </c>
      <c r="X32">
        <f>salarydata[[#This Row],[- Gross Salary]]-salarydata[[#This Row],[-Total DEDUCTION.]]</f>
        <v>402500</v>
      </c>
      <c r="Y32" s="17">
        <f ca="1">DATEDIF(salarydata[[#This Row],[Hire Date]], TODAY(), "Y")</f>
        <v>3</v>
      </c>
    </row>
    <row r="33" spans="1:25" x14ac:dyDescent="0.3">
      <c r="A33" t="s">
        <v>98</v>
      </c>
      <c r="B33" t="s">
        <v>99</v>
      </c>
      <c r="C33" t="s">
        <v>100</v>
      </c>
      <c r="D33" t="s">
        <v>23</v>
      </c>
      <c r="E33" t="s">
        <v>24</v>
      </c>
      <c r="F33">
        <v>39</v>
      </c>
      <c r="G33" t="s">
        <v>17</v>
      </c>
      <c r="H33" s="1">
        <v>42995</v>
      </c>
      <c r="I33">
        <v>8000000018</v>
      </c>
      <c r="J33">
        <v>360000</v>
      </c>
      <c r="K33">
        <v>18</v>
      </c>
      <c r="L33" t="s">
        <v>19</v>
      </c>
      <c r="M33">
        <f>salarydata[[#This Row],[Basic Salary]]*$AC$13</f>
        <v>3600</v>
      </c>
      <c r="N33">
        <f>salarydata[[#This Row],[Basic Salary]]*$AC$14</f>
        <v>54000</v>
      </c>
      <c r="O33">
        <f>salarydata[[#This Row],[Basic Salary]]*$AC$15</f>
        <v>18000</v>
      </c>
      <c r="P33">
        <f>salarydata[[#This Row],[Basic Salary]]*$AC$16</f>
        <v>7200</v>
      </c>
      <c r="Q33">
        <f>salarydata[[#This Row],[Basic Salary]]*$AC$17</f>
        <v>7200</v>
      </c>
      <c r="R33">
        <f>salarydata[[#This Row],[Basic Salary]]+salarydata[[#This Row],[ -Performance Bonus (1%)]]+salarydata[[#This Row],[- House Allowance (15%)]]+salarydata[[#This Row],[- Transport Allowance (5%)]]+salarydata[[#This Row],[- wordrope Allowance (2%)]]+salarydata[[#This Row],[- Over Time(2%)]]</f>
        <v>450000</v>
      </c>
      <c r="S33">
        <f>salarydata[[#This Row],[Basic Salary]]*$AC$19</f>
        <v>3600</v>
      </c>
      <c r="T33">
        <f>salarydata[[#This Row],[Basic Salary]]*tax</f>
        <v>18000</v>
      </c>
      <c r="U33">
        <f>salarydata[[#This Row],[Basic Salary]]*healthinsurancepremium</f>
        <v>7200</v>
      </c>
      <c r="V33">
        <f>salarydata[[#This Row],[Basic Salary]]*retirementplan</f>
        <v>7200</v>
      </c>
      <c r="W33">
        <f>salarydata[[#This Row],[- Loan(1%)]]+salarydata[[#This Row],[- Tax(5%)]]+salarydata[[#This Row],[ - Health Insurance Premium(2%)]]+salarydata[[#This Row],[    - Retirement Plan(2%)]]</f>
        <v>36000</v>
      </c>
      <c r="X33">
        <f>salarydata[[#This Row],[- Gross Salary]]-salarydata[[#This Row],[-Total DEDUCTION.]]</f>
        <v>414000</v>
      </c>
      <c r="Y33" s="17">
        <f ca="1">DATEDIF(salarydata[[#This Row],[Hire Date]], TODAY(), "Y")</f>
        <v>8</v>
      </c>
    </row>
    <row r="34" spans="1:25" x14ac:dyDescent="0.3">
      <c r="A34" t="s">
        <v>167</v>
      </c>
      <c r="B34" t="s">
        <v>168</v>
      </c>
      <c r="C34" t="s">
        <v>55</v>
      </c>
      <c r="D34" t="s">
        <v>56</v>
      </c>
      <c r="E34" t="s">
        <v>24</v>
      </c>
      <c r="F34">
        <v>31</v>
      </c>
      <c r="G34" t="s">
        <v>57</v>
      </c>
      <c r="H34" s="1">
        <v>44792</v>
      </c>
      <c r="I34">
        <v>8000000038</v>
      </c>
      <c r="J34">
        <v>360000</v>
      </c>
      <c r="K34">
        <v>38</v>
      </c>
      <c r="L34" t="s">
        <v>46</v>
      </c>
      <c r="M34">
        <f>salarydata[[#This Row],[Basic Salary]]*$AC$13</f>
        <v>3600</v>
      </c>
      <c r="N34">
        <f>salarydata[[#This Row],[Basic Salary]]*$AC$14</f>
        <v>54000</v>
      </c>
      <c r="O34">
        <f>salarydata[[#This Row],[Basic Salary]]*$AC$15</f>
        <v>18000</v>
      </c>
      <c r="P34">
        <f>salarydata[[#This Row],[Basic Salary]]*$AC$16</f>
        <v>7200</v>
      </c>
      <c r="Q34">
        <f>salarydata[[#This Row],[Basic Salary]]*$AC$17</f>
        <v>7200</v>
      </c>
      <c r="R34">
        <f>salarydata[[#This Row],[Basic Salary]]+salarydata[[#This Row],[ -Performance Bonus (1%)]]+salarydata[[#This Row],[- House Allowance (15%)]]+salarydata[[#This Row],[- Transport Allowance (5%)]]+salarydata[[#This Row],[- wordrope Allowance (2%)]]+salarydata[[#This Row],[- Over Time(2%)]]</f>
        <v>450000</v>
      </c>
      <c r="S34">
        <f>salarydata[[#This Row],[Basic Salary]]*$AC$19</f>
        <v>3600</v>
      </c>
      <c r="T34">
        <f>salarydata[[#This Row],[Basic Salary]]*tax</f>
        <v>18000</v>
      </c>
      <c r="U34">
        <f>salarydata[[#This Row],[Basic Salary]]*healthinsurancepremium</f>
        <v>7200</v>
      </c>
      <c r="V34">
        <f>salarydata[[#This Row],[Basic Salary]]*retirementplan</f>
        <v>7200</v>
      </c>
      <c r="W34">
        <f>salarydata[[#This Row],[- Loan(1%)]]+salarydata[[#This Row],[- Tax(5%)]]+salarydata[[#This Row],[ - Health Insurance Premium(2%)]]+salarydata[[#This Row],[    - Retirement Plan(2%)]]</f>
        <v>36000</v>
      </c>
      <c r="X34">
        <f>salarydata[[#This Row],[- Gross Salary]]-salarydata[[#This Row],[-Total DEDUCTION.]]</f>
        <v>414000</v>
      </c>
      <c r="Y34" s="17">
        <f ca="1">DATEDIF(salarydata[[#This Row],[Hire Date]], TODAY(), "Y")</f>
        <v>4</v>
      </c>
    </row>
    <row r="35" spans="1:25" x14ac:dyDescent="0.3">
      <c r="A35" t="s">
        <v>194</v>
      </c>
      <c r="B35" t="s">
        <v>195</v>
      </c>
      <c r="C35" t="s">
        <v>65</v>
      </c>
      <c r="D35" t="s">
        <v>23</v>
      </c>
      <c r="E35" t="s">
        <v>24</v>
      </c>
      <c r="F35">
        <v>36</v>
      </c>
      <c r="G35" t="s">
        <v>17</v>
      </c>
      <c r="H35" s="1">
        <v>43948</v>
      </c>
      <c r="I35">
        <v>8000000050</v>
      </c>
      <c r="J35">
        <v>365000</v>
      </c>
      <c r="K35">
        <v>50</v>
      </c>
      <c r="L35" t="s">
        <v>19</v>
      </c>
      <c r="M35">
        <f>salarydata[[#This Row],[Basic Salary]]*$AC$13</f>
        <v>3650</v>
      </c>
      <c r="N35">
        <f>salarydata[[#This Row],[Basic Salary]]*$AC$14</f>
        <v>54750</v>
      </c>
      <c r="O35">
        <f>salarydata[[#This Row],[Basic Salary]]*$AC$15</f>
        <v>18250</v>
      </c>
      <c r="P35">
        <f>salarydata[[#This Row],[Basic Salary]]*$AC$16</f>
        <v>7300</v>
      </c>
      <c r="Q35">
        <f>salarydata[[#This Row],[Basic Salary]]*$AC$17</f>
        <v>7300</v>
      </c>
      <c r="R35">
        <f>salarydata[[#This Row],[Basic Salary]]+salarydata[[#This Row],[ -Performance Bonus (1%)]]+salarydata[[#This Row],[- House Allowance (15%)]]+salarydata[[#This Row],[- Transport Allowance (5%)]]+salarydata[[#This Row],[- wordrope Allowance (2%)]]+salarydata[[#This Row],[- Over Time(2%)]]</f>
        <v>456250</v>
      </c>
      <c r="S35">
        <f>salarydata[[#This Row],[Basic Salary]]*$AC$19</f>
        <v>3650</v>
      </c>
      <c r="T35">
        <f>salarydata[[#This Row],[Basic Salary]]*tax</f>
        <v>18250</v>
      </c>
      <c r="U35">
        <f>salarydata[[#This Row],[Basic Salary]]*healthinsurancepremium</f>
        <v>7300</v>
      </c>
      <c r="V35">
        <f>salarydata[[#This Row],[Basic Salary]]*retirementplan</f>
        <v>7300</v>
      </c>
      <c r="W35">
        <f>salarydata[[#This Row],[- Loan(1%)]]+salarydata[[#This Row],[- Tax(5%)]]+salarydata[[#This Row],[ - Health Insurance Premium(2%)]]+salarydata[[#This Row],[    - Retirement Plan(2%)]]</f>
        <v>36500</v>
      </c>
      <c r="X35">
        <f>salarydata[[#This Row],[- Gross Salary]]-salarydata[[#This Row],[-Total DEDUCTION.]]</f>
        <v>419750</v>
      </c>
      <c r="Y35" s="17">
        <f ca="1">DATEDIF(salarydata[[#This Row],[Hire Date]], TODAY(), "Y")</f>
        <v>6</v>
      </c>
    </row>
    <row r="36" spans="1:25" x14ac:dyDescent="0.3">
      <c r="A36" t="s">
        <v>129</v>
      </c>
      <c r="B36" t="s">
        <v>130</v>
      </c>
      <c r="C36" t="s">
        <v>49</v>
      </c>
      <c r="D36" t="s">
        <v>23</v>
      </c>
      <c r="E36" t="s">
        <v>24</v>
      </c>
      <c r="F36">
        <v>35</v>
      </c>
      <c r="G36" t="s">
        <v>51</v>
      </c>
      <c r="H36" s="1">
        <v>43799</v>
      </c>
      <c r="I36">
        <v>8000000026</v>
      </c>
      <c r="J36">
        <v>370000</v>
      </c>
      <c r="K36">
        <v>26</v>
      </c>
      <c r="L36" t="s">
        <v>52</v>
      </c>
      <c r="M36">
        <f>salarydata[[#This Row],[Basic Salary]]*$AC$13</f>
        <v>3700</v>
      </c>
      <c r="N36">
        <f>salarydata[[#This Row],[Basic Salary]]*$AC$14</f>
        <v>55500</v>
      </c>
      <c r="O36">
        <f>salarydata[[#This Row],[Basic Salary]]*$AC$15</f>
        <v>18500</v>
      </c>
      <c r="P36">
        <f>salarydata[[#This Row],[Basic Salary]]*$AC$16</f>
        <v>7400</v>
      </c>
      <c r="Q36">
        <f>salarydata[[#This Row],[Basic Salary]]*$AC$17</f>
        <v>7400</v>
      </c>
      <c r="R36">
        <f>salarydata[[#This Row],[Basic Salary]]+salarydata[[#This Row],[ -Performance Bonus (1%)]]+salarydata[[#This Row],[- House Allowance (15%)]]+salarydata[[#This Row],[- Transport Allowance (5%)]]+salarydata[[#This Row],[- wordrope Allowance (2%)]]+salarydata[[#This Row],[- Over Time(2%)]]</f>
        <v>462500</v>
      </c>
      <c r="S36">
        <f>salarydata[[#This Row],[Basic Salary]]*$AC$19</f>
        <v>3700</v>
      </c>
      <c r="T36">
        <f>salarydata[[#This Row],[Basic Salary]]*tax</f>
        <v>18500</v>
      </c>
      <c r="U36">
        <f>salarydata[[#This Row],[Basic Salary]]*healthinsurancepremium</f>
        <v>7400</v>
      </c>
      <c r="V36">
        <f>salarydata[[#This Row],[Basic Salary]]*retirementplan</f>
        <v>7400</v>
      </c>
      <c r="W36">
        <f>salarydata[[#This Row],[- Loan(1%)]]+salarydata[[#This Row],[- Tax(5%)]]+salarydata[[#This Row],[ - Health Insurance Premium(2%)]]+salarydata[[#This Row],[    - Retirement Plan(2%)]]</f>
        <v>37000</v>
      </c>
      <c r="X36">
        <f>salarydata[[#This Row],[- Gross Salary]]-salarydata[[#This Row],[-Total DEDUCTION.]]</f>
        <v>425500</v>
      </c>
      <c r="Y36" s="17">
        <f ca="1">DATEDIF(salarydata[[#This Row],[Hire Date]], TODAY(), "Y")</f>
        <v>6</v>
      </c>
    </row>
    <row r="37" spans="1:25" x14ac:dyDescent="0.3">
      <c r="A37" t="s">
        <v>186</v>
      </c>
      <c r="B37" t="s">
        <v>187</v>
      </c>
      <c r="C37" t="s">
        <v>36</v>
      </c>
      <c r="D37" t="s">
        <v>56</v>
      </c>
      <c r="E37" t="s">
        <v>24</v>
      </c>
      <c r="F37">
        <v>35</v>
      </c>
      <c r="G37" t="s">
        <v>38</v>
      </c>
      <c r="H37" s="1">
        <v>44128</v>
      </c>
      <c r="I37">
        <v>8000000046</v>
      </c>
      <c r="J37">
        <v>375000</v>
      </c>
      <c r="K37">
        <v>46</v>
      </c>
      <c r="L37" t="s">
        <v>33</v>
      </c>
      <c r="M37">
        <f>salarydata[[#This Row],[Basic Salary]]*$AC$13</f>
        <v>3750</v>
      </c>
      <c r="N37">
        <f>salarydata[[#This Row],[Basic Salary]]*$AC$14</f>
        <v>56250</v>
      </c>
      <c r="O37">
        <f>salarydata[[#This Row],[Basic Salary]]*$AC$15</f>
        <v>18750</v>
      </c>
      <c r="P37">
        <f>salarydata[[#This Row],[Basic Salary]]*$AC$16</f>
        <v>7500</v>
      </c>
      <c r="Q37">
        <f>salarydata[[#This Row],[Basic Salary]]*$AC$17</f>
        <v>7500</v>
      </c>
      <c r="R37">
        <f>salarydata[[#This Row],[Basic Salary]]+salarydata[[#This Row],[ -Performance Bonus (1%)]]+salarydata[[#This Row],[- House Allowance (15%)]]+salarydata[[#This Row],[- Transport Allowance (5%)]]+salarydata[[#This Row],[- wordrope Allowance (2%)]]+salarydata[[#This Row],[- Over Time(2%)]]</f>
        <v>468750</v>
      </c>
      <c r="S37">
        <f>salarydata[[#This Row],[Basic Salary]]*$AC$19</f>
        <v>3750</v>
      </c>
      <c r="T37">
        <f>salarydata[[#This Row],[Basic Salary]]*tax</f>
        <v>18750</v>
      </c>
      <c r="U37">
        <f>salarydata[[#This Row],[Basic Salary]]*healthinsurancepremium</f>
        <v>7500</v>
      </c>
      <c r="V37">
        <f>salarydata[[#This Row],[Basic Salary]]*retirementplan</f>
        <v>7500</v>
      </c>
      <c r="W37">
        <f>salarydata[[#This Row],[- Loan(1%)]]+salarydata[[#This Row],[- Tax(5%)]]+salarydata[[#This Row],[ - Health Insurance Premium(2%)]]+salarydata[[#This Row],[    - Retirement Plan(2%)]]</f>
        <v>37500</v>
      </c>
      <c r="X37">
        <f>salarydata[[#This Row],[- Gross Salary]]-salarydata[[#This Row],[-Total DEDUCTION.]]</f>
        <v>431250</v>
      </c>
      <c r="Y37" s="17">
        <f ca="1">DATEDIF(salarydata[[#This Row],[Hire Date]], TODAY(), "Y")</f>
        <v>5</v>
      </c>
    </row>
    <row r="38" spans="1:25" x14ac:dyDescent="0.3">
      <c r="A38" t="s">
        <v>34</v>
      </c>
      <c r="B38" t="s">
        <v>35</v>
      </c>
      <c r="C38" t="s">
        <v>36</v>
      </c>
      <c r="D38" t="s">
        <v>37</v>
      </c>
      <c r="E38" t="s">
        <v>24</v>
      </c>
      <c r="F38">
        <v>31</v>
      </c>
      <c r="G38" t="s">
        <v>38</v>
      </c>
      <c r="H38" s="1">
        <v>44687</v>
      </c>
      <c r="I38">
        <v>8000000004</v>
      </c>
      <c r="J38">
        <v>380000</v>
      </c>
      <c r="K38">
        <v>4</v>
      </c>
      <c r="L38" t="s">
        <v>39</v>
      </c>
      <c r="M38">
        <f>salarydata[[#This Row],[Basic Salary]]*$AC$13</f>
        <v>3800</v>
      </c>
      <c r="N38">
        <f>salarydata[[#This Row],[Basic Salary]]*$AC$14</f>
        <v>57000</v>
      </c>
      <c r="O38">
        <f>salarydata[[#This Row],[Basic Salary]]*$AC$15</f>
        <v>19000</v>
      </c>
      <c r="P38">
        <f>salarydata[[#This Row],[Basic Salary]]*$AC$16</f>
        <v>7600</v>
      </c>
      <c r="Q38">
        <f>salarydata[[#This Row],[Basic Salary]]*$AC$17</f>
        <v>7600</v>
      </c>
      <c r="R38">
        <f>salarydata[[#This Row],[Basic Salary]]+salarydata[[#This Row],[ -Performance Bonus (1%)]]+salarydata[[#This Row],[- House Allowance (15%)]]+salarydata[[#This Row],[- Transport Allowance (5%)]]+salarydata[[#This Row],[- wordrope Allowance (2%)]]+salarydata[[#This Row],[- Over Time(2%)]]</f>
        <v>475000</v>
      </c>
      <c r="S38">
        <f>salarydata[[#This Row],[Basic Salary]]*$AC$19</f>
        <v>3800</v>
      </c>
      <c r="T38">
        <f>salarydata[[#This Row],[Basic Salary]]*tax</f>
        <v>19000</v>
      </c>
      <c r="U38">
        <f>salarydata[[#This Row],[Basic Salary]]*healthinsurancepremium</f>
        <v>7600</v>
      </c>
      <c r="V38">
        <f>salarydata[[#This Row],[Basic Salary]]*retirementplan</f>
        <v>7600</v>
      </c>
      <c r="W38">
        <f>salarydata[[#This Row],[- Loan(1%)]]+salarydata[[#This Row],[- Tax(5%)]]+salarydata[[#This Row],[ - Health Insurance Premium(2%)]]+salarydata[[#This Row],[    - Retirement Plan(2%)]]</f>
        <v>38000</v>
      </c>
      <c r="X38">
        <f>salarydata[[#This Row],[- Gross Salary]]-salarydata[[#This Row],[-Total DEDUCTION.]]</f>
        <v>437000</v>
      </c>
      <c r="Y38" s="17">
        <f ca="1">DATEDIF(salarydata[[#This Row],[Hire Date]], TODAY(), "Y")</f>
        <v>4</v>
      </c>
    </row>
    <row r="39" spans="1:25" x14ac:dyDescent="0.3">
      <c r="A39" t="s">
        <v>177</v>
      </c>
      <c r="B39" t="s">
        <v>178</v>
      </c>
      <c r="C39" t="s">
        <v>78</v>
      </c>
      <c r="D39" t="s">
        <v>23</v>
      </c>
      <c r="E39" t="s">
        <v>24</v>
      </c>
      <c r="F39">
        <v>40</v>
      </c>
      <c r="G39" t="s">
        <v>79</v>
      </c>
      <c r="H39" s="1">
        <v>42999</v>
      </c>
      <c r="I39">
        <v>8000000042</v>
      </c>
      <c r="J39">
        <v>380000</v>
      </c>
      <c r="K39">
        <v>42</v>
      </c>
      <c r="L39" t="s">
        <v>39</v>
      </c>
      <c r="M39">
        <f>salarydata[[#This Row],[Basic Salary]]*$AC$13</f>
        <v>3800</v>
      </c>
      <c r="N39">
        <f>salarydata[[#This Row],[Basic Salary]]*$AC$14</f>
        <v>57000</v>
      </c>
      <c r="O39">
        <f>salarydata[[#This Row],[Basic Salary]]*$AC$15</f>
        <v>19000</v>
      </c>
      <c r="P39">
        <f>salarydata[[#This Row],[Basic Salary]]*$AC$16</f>
        <v>7600</v>
      </c>
      <c r="Q39">
        <f>salarydata[[#This Row],[Basic Salary]]*$AC$17</f>
        <v>7600</v>
      </c>
      <c r="R39">
        <f>salarydata[[#This Row],[Basic Salary]]+salarydata[[#This Row],[ -Performance Bonus (1%)]]+salarydata[[#This Row],[- House Allowance (15%)]]+salarydata[[#This Row],[- Transport Allowance (5%)]]+salarydata[[#This Row],[- wordrope Allowance (2%)]]+salarydata[[#This Row],[- Over Time(2%)]]</f>
        <v>475000</v>
      </c>
      <c r="S39">
        <f>salarydata[[#This Row],[Basic Salary]]*$AC$19</f>
        <v>3800</v>
      </c>
      <c r="T39">
        <f>salarydata[[#This Row],[Basic Salary]]*tax</f>
        <v>19000</v>
      </c>
      <c r="U39">
        <f>salarydata[[#This Row],[Basic Salary]]*healthinsurancepremium</f>
        <v>7600</v>
      </c>
      <c r="V39">
        <f>salarydata[[#This Row],[Basic Salary]]*retirementplan</f>
        <v>7600</v>
      </c>
      <c r="W39">
        <f>salarydata[[#This Row],[- Loan(1%)]]+salarydata[[#This Row],[- Tax(5%)]]+salarydata[[#This Row],[ - Health Insurance Premium(2%)]]+salarydata[[#This Row],[    - Retirement Plan(2%)]]</f>
        <v>38000</v>
      </c>
      <c r="X39">
        <f>salarydata[[#This Row],[- Gross Salary]]-salarydata[[#This Row],[-Total DEDUCTION.]]</f>
        <v>437000</v>
      </c>
      <c r="Y39" s="17">
        <f ca="1">DATEDIF(salarydata[[#This Row],[Hire Date]], TODAY(), "Y")</f>
        <v>8</v>
      </c>
    </row>
    <row r="40" spans="1:25" x14ac:dyDescent="0.3">
      <c r="A40" t="s">
        <v>102</v>
      </c>
      <c r="B40" t="s">
        <v>103</v>
      </c>
      <c r="C40" t="s">
        <v>104</v>
      </c>
      <c r="D40" t="s">
        <v>37</v>
      </c>
      <c r="E40" t="s">
        <v>16</v>
      </c>
      <c r="F40">
        <v>29</v>
      </c>
      <c r="G40" t="s">
        <v>105</v>
      </c>
      <c r="H40" s="1">
        <v>44947</v>
      </c>
      <c r="I40">
        <v>8000000019</v>
      </c>
      <c r="J40">
        <v>390000</v>
      </c>
      <c r="K40">
        <v>19</v>
      </c>
      <c r="L40" t="s">
        <v>26</v>
      </c>
      <c r="M40">
        <f>salarydata[[#This Row],[Basic Salary]]*$AC$13</f>
        <v>3900</v>
      </c>
      <c r="N40">
        <f>salarydata[[#This Row],[Basic Salary]]*$AC$14</f>
        <v>58500</v>
      </c>
      <c r="O40">
        <f>salarydata[[#This Row],[Basic Salary]]*$AC$15</f>
        <v>19500</v>
      </c>
      <c r="P40">
        <f>salarydata[[#This Row],[Basic Salary]]*$AC$16</f>
        <v>7800</v>
      </c>
      <c r="Q40">
        <f>salarydata[[#This Row],[Basic Salary]]*$AC$17</f>
        <v>7800</v>
      </c>
      <c r="R40">
        <f>salarydata[[#This Row],[Basic Salary]]+salarydata[[#This Row],[ -Performance Bonus (1%)]]+salarydata[[#This Row],[- House Allowance (15%)]]+salarydata[[#This Row],[- Transport Allowance (5%)]]+salarydata[[#This Row],[- wordrope Allowance (2%)]]+salarydata[[#This Row],[- Over Time(2%)]]</f>
        <v>487500</v>
      </c>
      <c r="S40">
        <f>salarydata[[#This Row],[Basic Salary]]*$AC$19</f>
        <v>3900</v>
      </c>
      <c r="T40">
        <f>salarydata[[#This Row],[Basic Salary]]*tax</f>
        <v>19500</v>
      </c>
      <c r="U40">
        <f>salarydata[[#This Row],[Basic Salary]]*healthinsurancepremium</f>
        <v>7800</v>
      </c>
      <c r="V40">
        <f>salarydata[[#This Row],[Basic Salary]]*retirementplan</f>
        <v>7800</v>
      </c>
      <c r="W40">
        <f>salarydata[[#This Row],[- Loan(1%)]]+salarydata[[#This Row],[- Tax(5%)]]+salarydata[[#This Row],[ - Health Insurance Premium(2%)]]+salarydata[[#This Row],[    - Retirement Plan(2%)]]</f>
        <v>39000</v>
      </c>
      <c r="X40">
        <f>salarydata[[#This Row],[- Gross Salary]]-salarydata[[#This Row],[-Total DEDUCTION.]]</f>
        <v>448500</v>
      </c>
      <c r="Y40" s="17">
        <f ca="1">DATEDIF(salarydata[[#This Row],[Hire Date]], TODAY(), "Y")</f>
        <v>3</v>
      </c>
    </row>
    <row r="41" spans="1:25" x14ac:dyDescent="0.3">
      <c r="A41" t="s">
        <v>132</v>
      </c>
      <c r="B41" t="s">
        <v>133</v>
      </c>
      <c r="C41" t="s">
        <v>134</v>
      </c>
      <c r="D41" t="s">
        <v>37</v>
      </c>
      <c r="E41" t="s">
        <v>16</v>
      </c>
      <c r="F41">
        <v>28</v>
      </c>
      <c r="G41" t="s">
        <v>38</v>
      </c>
      <c r="H41" s="1">
        <v>45034</v>
      </c>
      <c r="I41">
        <v>8000000027</v>
      </c>
      <c r="J41">
        <v>400000</v>
      </c>
      <c r="K41">
        <v>27</v>
      </c>
      <c r="L41" t="s">
        <v>46</v>
      </c>
      <c r="M41">
        <f>salarydata[[#This Row],[Basic Salary]]*$AC$13</f>
        <v>4000</v>
      </c>
      <c r="N41">
        <f>salarydata[[#This Row],[Basic Salary]]*$AC$14</f>
        <v>60000</v>
      </c>
      <c r="O41">
        <f>salarydata[[#This Row],[Basic Salary]]*$AC$15</f>
        <v>20000</v>
      </c>
      <c r="P41">
        <f>salarydata[[#This Row],[Basic Salary]]*$AC$16</f>
        <v>8000</v>
      </c>
      <c r="Q41">
        <f>salarydata[[#This Row],[Basic Salary]]*$AC$17</f>
        <v>8000</v>
      </c>
      <c r="R41">
        <f>salarydata[[#This Row],[Basic Salary]]+salarydata[[#This Row],[ -Performance Bonus (1%)]]+salarydata[[#This Row],[- House Allowance (15%)]]+salarydata[[#This Row],[- Transport Allowance (5%)]]+salarydata[[#This Row],[- wordrope Allowance (2%)]]+salarydata[[#This Row],[- Over Time(2%)]]</f>
        <v>500000</v>
      </c>
      <c r="S41">
        <f>salarydata[[#This Row],[Basic Salary]]*$AC$19</f>
        <v>4000</v>
      </c>
      <c r="T41">
        <f>salarydata[[#This Row],[Basic Salary]]*tax</f>
        <v>20000</v>
      </c>
      <c r="U41">
        <f>salarydata[[#This Row],[Basic Salary]]*healthinsurancepremium</f>
        <v>8000</v>
      </c>
      <c r="V41">
        <f>salarydata[[#This Row],[Basic Salary]]*retirementplan</f>
        <v>8000</v>
      </c>
      <c r="W41">
        <f>salarydata[[#This Row],[- Loan(1%)]]+salarydata[[#This Row],[- Tax(5%)]]+salarydata[[#This Row],[ - Health Insurance Premium(2%)]]+salarydata[[#This Row],[    - Retirement Plan(2%)]]</f>
        <v>40000</v>
      </c>
      <c r="X41">
        <f>salarydata[[#This Row],[- Gross Salary]]-salarydata[[#This Row],[-Total DEDUCTION.]]</f>
        <v>460000</v>
      </c>
      <c r="Y41" s="17">
        <f ca="1">DATEDIF(salarydata[[#This Row],[Hire Date]], TODAY(), "Y")</f>
        <v>3</v>
      </c>
    </row>
    <row r="42" spans="1:25" x14ac:dyDescent="0.3">
      <c r="A42" t="s">
        <v>180</v>
      </c>
      <c r="B42" t="s">
        <v>88</v>
      </c>
      <c r="C42" t="s">
        <v>109</v>
      </c>
      <c r="D42" t="s">
        <v>37</v>
      </c>
      <c r="E42" t="s">
        <v>16</v>
      </c>
      <c r="F42">
        <v>33</v>
      </c>
      <c r="G42" t="s">
        <v>17</v>
      </c>
      <c r="H42" s="1">
        <v>44896</v>
      </c>
      <c r="I42">
        <v>8000000043</v>
      </c>
      <c r="J42">
        <v>410000</v>
      </c>
      <c r="K42">
        <v>43</v>
      </c>
      <c r="L42" t="s">
        <v>46</v>
      </c>
      <c r="M42">
        <f>salarydata[[#This Row],[Basic Salary]]*$AC$13</f>
        <v>4100</v>
      </c>
      <c r="N42">
        <f>salarydata[[#This Row],[Basic Salary]]*$AC$14</f>
        <v>61500</v>
      </c>
      <c r="O42">
        <f>salarydata[[#This Row],[Basic Salary]]*$AC$15</f>
        <v>20500</v>
      </c>
      <c r="P42">
        <f>salarydata[[#This Row],[Basic Salary]]*$AC$16</f>
        <v>8200</v>
      </c>
      <c r="Q42">
        <f>salarydata[[#This Row],[Basic Salary]]*$AC$17</f>
        <v>8200</v>
      </c>
      <c r="R42">
        <f>salarydata[[#This Row],[Basic Salary]]+salarydata[[#This Row],[ -Performance Bonus (1%)]]+salarydata[[#This Row],[- House Allowance (15%)]]+salarydata[[#This Row],[- Transport Allowance (5%)]]+salarydata[[#This Row],[- wordrope Allowance (2%)]]+salarydata[[#This Row],[- Over Time(2%)]]</f>
        <v>512500</v>
      </c>
      <c r="S42">
        <f>salarydata[[#This Row],[Basic Salary]]*$AC$19</f>
        <v>4100</v>
      </c>
      <c r="T42">
        <f>salarydata[[#This Row],[Basic Salary]]*tax</f>
        <v>20500</v>
      </c>
      <c r="U42">
        <f>salarydata[[#This Row],[Basic Salary]]*healthinsurancepremium</f>
        <v>8200</v>
      </c>
      <c r="V42">
        <f>salarydata[[#This Row],[Basic Salary]]*retirementplan</f>
        <v>8200</v>
      </c>
      <c r="W42">
        <f>salarydata[[#This Row],[- Loan(1%)]]+salarydata[[#This Row],[- Tax(5%)]]+salarydata[[#This Row],[ - Health Insurance Premium(2%)]]+salarydata[[#This Row],[    - Retirement Plan(2%)]]</f>
        <v>41000</v>
      </c>
      <c r="X42">
        <f>salarydata[[#This Row],[- Gross Salary]]-salarydata[[#This Row],[-Total DEDUCTION.]]</f>
        <v>471500</v>
      </c>
      <c r="Y42" s="17">
        <f ca="1">DATEDIF(salarydata[[#This Row],[Hire Date]], TODAY(), "Y")</f>
        <v>3</v>
      </c>
    </row>
    <row r="43" spans="1:25" x14ac:dyDescent="0.3">
      <c r="A43" t="s">
        <v>72</v>
      </c>
      <c r="B43" t="s">
        <v>73</v>
      </c>
      <c r="C43" t="s">
        <v>74</v>
      </c>
      <c r="D43" t="s">
        <v>37</v>
      </c>
      <c r="E43" t="s">
        <v>16</v>
      </c>
      <c r="F43">
        <v>42</v>
      </c>
      <c r="G43" t="s">
        <v>25</v>
      </c>
      <c r="H43" s="1">
        <v>42506</v>
      </c>
      <c r="I43">
        <v>8000000011</v>
      </c>
      <c r="J43">
        <v>420000</v>
      </c>
      <c r="K43">
        <v>11</v>
      </c>
      <c r="L43" t="s">
        <v>46</v>
      </c>
      <c r="M43">
        <f>salarydata[[#This Row],[Basic Salary]]*$AC$13</f>
        <v>4200</v>
      </c>
      <c r="N43">
        <f>salarydata[[#This Row],[Basic Salary]]*$AC$14</f>
        <v>63000</v>
      </c>
      <c r="O43">
        <f>salarydata[[#This Row],[Basic Salary]]*$AC$15</f>
        <v>21000</v>
      </c>
      <c r="P43">
        <f>salarydata[[#This Row],[Basic Salary]]*$AC$16</f>
        <v>8400</v>
      </c>
      <c r="Q43">
        <f>salarydata[[#This Row],[Basic Salary]]*$AC$17</f>
        <v>8400</v>
      </c>
      <c r="R43">
        <f>salarydata[[#This Row],[Basic Salary]]+salarydata[[#This Row],[ -Performance Bonus (1%)]]+salarydata[[#This Row],[- House Allowance (15%)]]+salarydata[[#This Row],[- Transport Allowance (5%)]]+salarydata[[#This Row],[- wordrope Allowance (2%)]]+salarydata[[#This Row],[- Over Time(2%)]]</f>
        <v>525000</v>
      </c>
      <c r="S43">
        <f>salarydata[[#This Row],[Basic Salary]]*$AC$19</f>
        <v>4200</v>
      </c>
      <c r="T43">
        <f>salarydata[[#This Row],[Basic Salary]]*tax</f>
        <v>21000</v>
      </c>
      <c r="U43">
        <f>salarydata[[#This Row],[Basic Salary]]*healthinsurancepremium</f>
        <v>8400</v>
      </c>
      <c r="V43">
        <f>salarydata[[#This Row],[Basic Salary]]*retirementplan</f>
        <v>8400</v>
      </c>
      <c r="W43">
        <f>salarydata[[#This Row],[- Loan(1%)]]+salarydata[[#This Row],[- Tax(5%)]]+salarydata[[#This Row],[ - Health Insurance Premium(2%)]]+salarydata[[#This Row],[    - Retirement Plan(2%)]]</f>
        <v>42000</v>
      </c>
      <c r="X43">
        <f>salarydata[[#This Row],[- Gross Salary]]-salarydata[[#This Row],[-Total DEDUCTION.]]</f>
        <v>483000</v>
      </c>
      <c r="Y43" s="17">
        <f ca="1">DATEDIF(salarydata[[#This Row],[Hire Date]], TODAY(), "Y")</f>
        <v>10</v>
      </c>
    </row>
    <row r="44" spans="1:25" x14ac:dyDescent="0.3">
      <c r="A44" t="s">
        <v>158</v>
      </c>
      <c r="B44" t="s">
        <v>159</v>
      </c>
      <c r="C44" t="s">
        <v>86</v>
      </c>
      <c r="D44" t="s">
        <v>37</v>
      </c>
      <c r="E44" t="s">
        <v>16</v>
      </c>
      <c r="F44">
        <v>36</v>
      </c>
      <c r="G44" t="s">
        <v>31</v>
      </c>
      <c r="H44" s="1">
        <v>43660</v>
      </c>
      <c r="I44">
        <v>8000000035</v>
      </c>
      <c r="J44">
        <v>435000</v>
      </c>
      <c r="K44">
        <v>35</v>
      </c>
      <c r="L44" t="s">
        <v>26</v>
      </c>
      <c r="M44">
        <f>salarydata[[#This Row],[Basic Salary]]*$AC$13</f>
        <v>4350</v>
      </c>
      <c r="N44">
        <f>salarydata[[#This Row],[Basic Salary]]*$AC$14</f>
        <v>65250</v>
      </c>
      <c r="O44">
        <f>salarydata[[#This Row],[Basic Salary]]*$AC$15</f>
        <v>21750</v>
      </c>
      <c r="P44">
        <f>salarydata[[#This Row],[Basic Salary]]*$AC$16</f>
        <v>8700</v>
      </c>
      <c r="Q44">
        <f>salarydata[[#This Row],[Basic Salary]]*$AC$17</f>
        <v>8700</v>
      </c>
      <c r="R44">
        <f>salarydata[[#This Row],[Basic Salary]]+salarydata[[#This Row],[ -Performance Bonus (1%)]]+salarydata[[#This Row],[- House Allowance (15%)]]+salarydata[[#This Row],[- Transport Allowance (5%)]]+salarydata[[#This Row],[- wordrope Allowance (2%)]]+salarydata[[#This Row],[- Over Time(2%)]]</f>
        <v>543750</v>
      </c>
      <c r="S44">
        <f>salarydata[[#This Row],[Basic Salary]]*$AC$19</f>
        <v>4350</v>
      </c>
      <c r="T44">
        <f>salarydata[[#This Row],[Basic Salary]]*tax</f>
        <v>21750</v>
      </c>
      <c r="U44">
        <f>salarydata[[#This Row],[Basic Salary]]*healthinsurancepremium</f>
        <v>8700</v>
      </c>
      <c r="V44">
        <f>salarydata[[#This Row],[Basic Salary]]*retirementplan</f>
        <v>8700</v>
      </c>
      <c r="W44">
        <f>salarydata[[#This Row],[- Loan(1%)]]+salarydata[[#This Row],[- Tax(5%)]]+salarydata[[#This Row],[ - Health Insurance Premium(2%)]]+salarydata[[#This Row],[    - Retirement Plan(2%)]]</f>
        <v>43500</v>
      </c>
      <c r="X44">
        <f>salarydata[[#This Row],[- Gross Salary]]-salarydata[[#This Row],[-Total DEDUCTION.]]</f>
        <v>500250</v>
      </c>
      <c r="Y44" s="17">
        <f ca="1">DATEDIF(salarydata[[#This Row],[Hire Date]], TODAY(), "Y")</f>
        <v>7</v>
      </c>
    </row>
    <row r="45" spans="1:25" x14ac:dyDescent="0.3">
      <c r="A45" t="s">
        <v>12</v>
      </c>
      <c r="B45" t="s">
        <v>13</v>
      </c>
      <c r="C45" t="s">
        <v>14</v>
      </c>
      <c r="D45" t="s">
        <v>15</v>
      </c>
      <c r="E45" t="s">
        <v>16</v>
      </c>
      <c r="F45">
        <v>29</v>
      </c>
      <c r="G45" t="s">
        <v>17</v>
      </c>
      <c r="H45" s="1">
        <v>44270</v>
      </c>
      <c r="I45">
        <v>8000000001</v>
      </c>
      <c r="J45">
        <v>450000</v>
      </c>
      <c r="K45">
        <v>1</v>
      </c>
      <c r="L45" t="s">
        <v>19</v>
      </c>
      <c r="M45">
        <f>salarydata[[#This Row],[Basic Salary]]*$AC$13</f>
        <v>4500</v>
      </c>
      <c r="N45">
        <f>salarydata[[#This Row],[Basic Salary]]*$AC$14</f>
        <v>67500</v>
      </c>
      <c r="O45">
        <f>salarydata[[#This Row],[Basic Salary]]*$AC$15</f>
        <v>22500</v>
      </c>
      <c r="P45">
        <f>salarydata[[#This Row],[Basic Salary]]*$AC$16</f>
        <v>9000</v>
      </c>
      <c r="Q45">
        <f>salarydata[[#This Row],[Basic Salary]]*$AC$17</f>
        <v>9000</v>
      </c>
      <c r="R45">
        <f>salarydata[[#This Row],[Basic Salary]]+salarydata[[#This Row],[ -Performance Bonus (1%)]]+salarydata[[#This Row],[- House Allowance (15%)]]+salarydata[[#This Row],[- Transport Allowance (5%)]]+salarydata[[#This Row],[- wordrope Allowance (2%)]]+salarydata[[#This Row],[- Over Time(2%)]]</f>
        <v>562500</v>
      </c>
      <c r="S45">
        <f>salarydata[[#This Row],[Basic Salary]]*$AC$19</f>
        <v>4500</v>
      </c>
      <c r="T45">
        <f>salarydata[[#This Row],[Basic Salary]]*tax</f>
        <v>22500</v>
      </c>
      <c r="U45">
        <f>salarydata[[#This Row],[Basic Salary]]*healthinsurancepremium</f>
        <v>9000</v>
      </c>
      <c r="V45">
        <f>salarydata[[#This Row],[Basic Salary]]*retirementplan</f>
        <v>9000</v>
      </c>
      <c r="W45">
        <f>salarydata[[#This Row],[- Loan(1%)]]+salarydata[[#This Row],[- Tax(5%)]]+salarydata[[#This Row],[ - Health Insurance Premium(2%)]]+salarydata[[#This Row],[    - Retirement Plan(2%)]]</f>
        <v>45000</v>
      </c>
      <c r="X45">
        <f>salarydata[[#This Row],[- Gross Salary]]-salarydata[[#This Row],[-Total DEDUCTION.]]</f>
        <v>517500</v>
      </c>
      <c r="Y45" s="17">
        <f ca="1">DATEDIF(salarydata[[#This Row],[Hire Date]], TODAY(), "Y")</f>
        <v>5</v>
      </c>
    </row>
    <row r="46" spans="1:25" x14ac:dyDescent="0.3">
      <c r="A46" t="s">
        <v>125</v>
      </c>
      <c r="B46" t="s">
        <v>126</v>
      </c>
      <c r="C46" t="s">
        <v>127</v>
      </c>
      <c r="D46" t="s">
        <v>15</v>
      </c>
      <c r="E46" t="s">
        <v>16</v>
      </c>
      <c r="F46">
        <v>30</v>
      </c>
      <c r="G46" t="s">
        <v>79</v>
      </c>
      <c r="H46" s="1">
        <v>44787</v>
      </c>
      <c r="I46">
        <v>8000000025</v>
      </c>
      <c r="J46">
        <v>480000</v>
      </c>
      <c r="K46">
        <v>25</v>
      </c>
      <c r="L46" t="s">
        <v>39</v>
      </c>
      <c r="M46">
        <f>salarydata[[#This Row],[Basic Salary]]*$AC$13</f>
        <v>4800</v>
      </c>
      <c r="N46">
        <f>salarydata[[#This Row],[Basic Salary]]*$AC$14</f>
        <v>72000</v>
      </c>
      <c r="O46">
        <f>salarydata[[#This Row],[Basic Salary]]*$AC$15</f>
        <v>24000</v>
      </c>
      <c r="P46">
        <f>salarydata[[#This Row],[Basic Salary]]*$AC$16</f>
        <v>9600</v>
      </c>
      <c r="Q46">
        <f>salarydata[[#This Row],[Basic Salary]]*$AC$17</f>
        <v>9600</v>
      </c>
      <c r="R46">
        <f>salarydata[[#This Row],[Basic Salary]]+salarydata[[#This Row],[ -Performance Bonus (1%)]]+salarydata[[#This Row],[- House Allowance (15%)]]+salarydata[[#This Row],[- Transport Allowance (5%)]]+salarydata[[#This Row],[- wordrope Allowance (2%)]]+salarydata[[#This Row],[- Over Time(2%)]]</f>
        <v>600000</v>
      </c>
      <c r="S46">
        <f>salarydata[[#This Row],[Basic Salary]]*$AC$19</f>
        <v>4800</v>
      </c>
      <c r="T46">
        <f>salarydata[[#This Row],[Basic Salary]]*tax</f>
        <v>24000</v>
      </c>
      <c r="U46">
        <f>salarydata[[#This Row],[Basic Salary]]*healthinsurancepremium</f>
        <v>9600</v>
      </c>
      <c r="V46">
        <f>salarydata[[#This Row],[Basic Salary]]*retirementplan</f>
        <v>9600</v>
      </c>
      <c r="W46">
        <f>salarydata[[#This Row],[- Loan(1%)]]+salarydata[[#This Row],[- Tax(5%)]]+salarydata[[#This Row],[ - Health Insurance Premium(2%)]]+salarydata[[#This Row],[    - Retirement Plan(2%)]]</f>
        <v>48000</v>
      </c>
      <c r="X46">
        <f>salarydata[[#This Row],[- Gross Salary]]-salarydata[[#This Row],[-Total DEDUCTION.]]</f>
        <v>552000</v>
      </c>
      <c r="Y46" s="17">
        <f ca="1">DATEDIF(salarydata[[#This Row],[Hire Date]], TODAY(), "Y")</f>
        <v>4</v>
      </c>
    </row>
    <row r="47" spans="1:25" x14ac:dyDescent="0.3">
      <c r="A47" t="s">
        <v>63</v>
      </c>
      <c r="B47" t="s">
        <v>64</v>
      </c>
      <c r="C47" t="s">
        <v>65</v>
      </c>
      <c r="D47" t="s">
        <v>15</v>
      </c>
      <c r="E47" t="s">
        <v>16</v>
      </c>
      <c r="F47">
        <v>33</v>
      </c>
      <c r="G47" t="s">
        <v>66</v>
      </c>
      <c r="H47" s="1">
        <v>44166</v>
      </c>
      <c r="I47">
        <v>8000000009</v>
      </c>
      <c r="J47">
        <v>500000</v>
      </c>
      <c r="K47">
        <v>9</v>
      </c>
      <c r="L47" t="s">
        <v>26</v>
      </c>
      <c r="M47">
        <f>salarydata[[#This Row],[Basic Salary]]*$AC$13</f>
        <v>5000</v>
      </c>
      <c r="N47">
        <f>salarydata[[#This Row],[Basic Salary]]*$AC$14</f>
        <v>75000</v>
      </c>
      <c r="O47">
        <f>salarydata[[#This Row],[Basic Salary]]*$AC$15</f>
        <v>25000</v>
      </c>
      <c r="P47">
        <f>salarydata[[#This Row],[Basic Salary]]*$AC$16</f>
        <v>10000</v>
      </c>
      <c r="Q47">
        <f>salarydata[[#This Row],[Basic Salary]]*$AC$17</f>
        <v>10000</v>
      </c>
      <c r="R47">
        <f>salarydata[[#This Row],[Basic Salary]]+salarydata[[#This Row],[ -Performance Bonus (1%)]]+salarydata[[#This Row],[- House Allowance (15%)]]+salarydata[[#This Row],[- Transport Allowance (5%)]]+salarydata[[#This Row],[- wordrope Allowance (2%)]]+salarydata[[#This Row],[- Over Time(2%)]]</f>
        <v>625000</v>
      </c>
      <c r="S47">
        <f>salarydata[[#This Row],[Basic Salary]]*$AC$19</f>
        <v>5000</v>
      </c>
      <c r="T47">
        <f>salarydata[[#This Row],[Basic Salary]]*tax</f>
        <v>25000</v>
      </c>
      <c r="U47">
        <f>salarydata[[#This Row],[Basic Salary]]*healthinsurancepremium</f>
        <v>10000</v>
      </c>
      <c r="V47">
        <f>salarydata[[#This Row],[Basic Salary]]*retirementplan</f>
        <v>10000</v>
      </c>
      <c r="W47">
        <f>salarydata[[#This Row],[- Loan(1%)]]+salarydata[[#This Row],[- Tax(5%)]]+salarydata[[#This Row],[ - Health Insurance Premium(2%)]]+salarydata[[#This Row],[    - Retirement Plan(2%)]]</f>
        <v>50000</v>
      </c>
      <c r="X47">
        <f>salarydata[[#This Row],[- Gross Salary]]-salarydata[[#This Row],[-Total DEDUCTION.]]</f>
        <v>575000</v>
      </c>
      <c r="Y47" s="17">
        <f ca="1">DATEDIF(salarydata[[#This Row],[Hire Date]], TODAY(), "Y")</f>
        <v>5</v>
      </c>
    </row>
    <row r="48" spans="1:25" x14ac:dyDescent="0.3">
      <c r="A48" t="s">
        <v>175</v>
      </c>
      <c r="B48" t="s">
        <v>176</v>
      </c>
      <c r="C48" t="s">
        <v>100</v>
      </c>
      <c r="D48" t="s">
        <v>15</v>
      </c>
      <c r="E48" t="s">
        <v>16</v>
      </c>
      <c r="F48">
        <v>32</v>
      </c>
      <c r="G48" t="s">
        <v>66</v>
      </c>
      <c r="H48" s="1">
        <v>44232</v>
      </c>
      <c r="I48">
        <v>8000000041</v>
      </c>
      <c r="J48">
        <v>525000</v>
      </c>
      <c r="K48">
        <v>41</v>
      </c>
      <c r="L48" t="s">
        <v>33</v>
      </c>
      <c r="M48">
        <f>salarydata[[#This Row],[Basic Salary]]*$AC$13</f>
        <v>5250</v>
      </c>
      <c r="N48">
        <f>salarydata[[#This Row],[Basic Salary]]*$AC$14</f>
        <v>78750</v>
      </c>
      <c r="O48">
        <f>salarydata[[#This Row],[Basic Salary]]*$AC$15</f>
        <v>26250</v>
      </c>
      <c r="P48">
        <f>salarydata[[#This Row],[Basic Salary]]*$AC$16</f>
        <v>10500</v>
      </c>
      <c r="Q48">
        <f>salarydata[[#This Row],[Basic Salary]]*$AC$17</f>
        <v>10500</v>
      </c>
      <c r="R48">
        <f>salarydata[[#This Row],[Basic Salary]]+salarydata[[#This Row],[ -Performance Bonus (1%)]]+salarydata[[#This Row],[- House Allowance (15%)]]+salarydata[[#This Row],[- Transport Allowance (5%)]]+salarydata[[#This Row],[- wordrope Allowance (2%)]]+salarydata[[#This Row],[- Over Time(2%)]]</f>
        <v>656250</v>
      </c>
      <c r="S48">
        <f>salarydata[[#This Row],[Basic Salary]]*$AC$19</f>
        <v>5250</v>
      </c>
      <c r="T48">
        <f>salarydata[[#This Row],[Basic Salary]]*tax</f>
        <v>26250</v>
      </c>
      <c r="U48">
        <f>salarydata[[#This Row],[Basic Salary]]*healthinsurancepremium</f>
        <v>10500</v>
      </c>
      <c r="V48">
        <f>salarydata[[#This Row],[Basic Salary]]*retirementplan</f>
        <v>10500</v>
      </c>
      <c r="W48">
        <f>salarydata[[#This Row],[- Loan(1%)]]+salarydata[[#This Row],[- Tax(5%)]]+salarydata[[#This Row],[ - Health Insurance Premium(2%)]]+salarydata[[#This Row],[    - Retirement Plan(2%)]]</f>
        <v>52500</v>
      </c>
      <c r="X48">
        <f>salarydata[[#This Row],[- Gross Salary]]-salarydata[[#This Row],[-Total DEDUCTION.]]</f>
        <v>603750</v>
      </c>
      <c r="Y48" s="17">
        <f ca="1">DATEDIF(salarydata[[#This Row],[Hire Date]], TODAY(), "Y")</f>
        <v>5</v>
      </c>
    </row>
    <row r="49" spans="1:25" x14ac:dyDescent="0.3">
      <c r="A49" t="s">
        <v>95</v>
      </c>
      <c r="B49" t="s">
        <v>96</v>
      </c>
      <c r="C49" t="s">
        <v>97</v>
      </c>
      <c r="D49" t="s">
        <v>15</v>
      </c>
      <c r="E49" t="s">
        <v>16</v>
      </c>
      <c r="F49">
        <v>37</v>
      </c>
      <c r="G49" t="s">
        <v>31</v>
      </c>
      <c r="H49" s="1">
        <v>43557</v>
      </c>
      <c r="I49">
        <v>8000000017</v>
      </c>
      <c r="J49">
        <v>550000</v>
      </c>
      <c r="K49">
        <v>17</v>
      </c>
      <c r="L49" t="s">
        <v>46</v>
      </c>
      <c r="M49">
        <f>salarydata[[#This Row],[Basic Salary]]*$AC$13</f>
        <v>5500</v>
      </c>
      <c r="N49">
        <f>salarydata[[#This Row],[Basic Salary]]*$AC$14</f>
        <v>82500</v>
      </c>
      <c r="O49">
        <f>salarydata[[#This Row],[Basic Salary]]*$AC$15</f>
        <v>27500</v>
      </c>
      <c r="P49">
        <f>salarydata[[#This Row],[Basic Salary]]*$AC$16</f>
        <v>11000</v>
      </c>
      <c r="Q49">
        <f>salarydata[[#This Row],[Basic Salary]]*$AC$17</f>
        <v>11000</v>
      </c>
      <c r="R49">
        <f>salarydata[[#This Row],[Basic Salary]]+salarydata[[#This Row],[ -Performance Bonus (1%)]]+salarydata[[#This Row],[- House Allowance (15%)]]+salarydata[[#This Row],[- Transport Allowance (5%)]]+salarydata[[#This Row],[- wordrope Allowance (2%)]]+salarydata[[#This Row],[- Over Time(2%)]]</f>
        <v>687500</v>
      </c>
      <c r="S49">
        <f>salarydata[[#This Row],[Basic Salary]]*$AC$19</f>
        <v>5500</v>
      </c>
      <c r="T49">
        <f>salarydata[[#This Row],[Basic Salary]]*tax</f>
        <v>27500</v>
      </c>
      <c r="U49">
        <f>salarydata[[#This Row],[Basic Salary]]*healthinsurancepremium</f>
        <v>11000</v>
      </c>
      <c r="V49">
        <f>salarydata[[#This Row],[Basic Salary]]*retirementplan</f>
        <v>11000</v>
      </c>
      <c r="W49">
        <f>salarydata[[#This Row],[- Loan(1%)]]+salarydata[[#This Row],[- Tax(5%)]]+salarydata[[#This Row],[ - Health Insurance Premium(2%)]]+salarydata[[#This Row],[    - Retirement Plan(2%)]]</f>
        <v>55000</v>
      </c>
      <c r="X49">
        <f>salarydata[[#This Row],[- Gross Salary]]-salarydata[[#This Row],[-Total DEDUCTION.]]</f>
        <v>632500</v>
      </c>
      <c r="Y49" s="17">
        <f ca="1">DATEDIF(salarydata[[#This Row],[Hire Date]], TODAY(), "Y")</f>
        <v>7</v>
      </c>
    </row>
    <row r="50" spans="1:25" x14ac:dyDescent="0.3">
      <c r="A50" t="s">
        <v>192</v>
      </c>
      <c r="B50" t="s">
        <v>13</v>
      </c>
      <c r="C50" t="s">
        <v>29</v>
      </c>
      <c r="D50" t="s">
        <v>15</v>
      </c>
      <c r="E50" t="s">
        <v>16</v>
      </c>
      <c r="F50">
        <v>39</v>
      </c>
      <c r="G50" t="s">
        <v>70</v>
      </c>
      <c r="H50" s="1">
        <v>43422</v>
      </c>
      <c r="I50">
        <v>8000000049</v>
      </c>
      <c r="J50">
        <v>575000</v>
      </c>
      <c r="K50">
        <v>49</v>
      </c>
      <c r="L50" t="s">
        <v>46</v>
      </c>
      <c r="M50">
        <f>salarydata[[#This Row],[Basic Salary]]*$AC$13</f>
        <v>5750</v>
      </c>
      <c r="N50">
        <f>salarydata[[#This Row],[Basic Salary]]*$AC$14</f>
        <v>86250</v>
      </c>
      <c r="O50">
        <f>salarydata[[#This Row],[Basic Salary]]*$AC$15</f>
        <v>28750</v>
      </c>
      <c r="P50">
        <f>salarydata[[#This Row],[Basic Salary]]*$AC$16</f>
        <v>11500</v>
      </c>
      <c r="Q50">
        <f>salarydata[[#This Row],[Basic Salary]]*$AC$17</f>
        <v>11500</v>
      </c>
      <c r="R50">
        <f>salarydata[[#This Row],[Basic Salary]]+salarydata[[#This Row],[ -Performance Bonus (1%)]]+salarydata[[#This Row],[- House Allowance (15%)]]+salarydata[[#This Row],[- Transport Allowance (5%)]]+salarydata[[#This Row],[- wordrope Allowance (2%)]]+salarydata[[#This Row],[- Over Time(2%)]]</f>
        <v>718750</v>
      </c>
      <c r="S50">
        <f>salarydata[[#This Row],[Basic Salary]]*$AC$19</f>
        <v>5750</v>
      </c>
      <c r="T50">
        <f>salarydata[[#This Row],[Basic Salary]]*tax</f>
        <v>28750</v>
      </c>
      <c r="U50">
        <f>salarydata[[#This Row],[Basic Salary]]*healthinsurancepremium</f>
        <v>11500</v>
      </c>
      <c r="V50">
        <f>salarydata[[#This Row],[Basic Salary]]*retirementplan</f>
        <v>11500</v>
      </c>
      <c r="W50">
        <f>salarydata[[#This Row],[- Loan(1%)]]+salarydata[[#This Row],[- Tax(5%)]]+salarydata[[#This Row],[ - Health Insurance Premium(2%)]]+salarydata[[#This Row],[    - Retirement Plan(2%)]]</f>
        <v>57500</v>
      </c>
      <c r="X50">
        <f>salarydata[[#This Row],[- Gross Salary]]-salarydata[[#This Row],[-Total DEDUCTION.]]</f>
        <v>661250</v>
      </c>
      <c r="Y50" s="17">
        <f ca="1">DATEDIF(salarydata[[#This Row],[Hire Date]], TODAY(), "Y")</f>
        <v>7</v>
      </c>
    </row>
    <row r="51" spans="1:25" x14ac:dyDescent="0.3">
      <c r="A51" t="s">
        <v>153</v>
      </c>
      <c r="B51" t="s">
        <v>154</v>
      </c>
      <c r="C51" t="s">
        <v>89</v>
      </c>
      <c r="D51" t="s">
        <v>15</v>
      </c>
      <c r="E51" t="s">
        <v>16</v>
      </c>
      <c r="F51">
        <v>43</v>
      </c>
      <c r="G51" t="s">
        <v>25</v>
      </c>
      <c r="H51" s="1">
        <v>42507</v>
      </c>
      <c r="I51">
        <v>8000000033</v>
      </c>
      <c r="J51">
        <v>600000</v>
      </c>
      <c r="K51">
        <v>33</v>
      </c>
      <c r="L51" t="s">
        <v>46</v>
      </c>
      <c r="M51">
        <f>salarydata[[#This Row],[Basic Salary]]*$AC$13</f>
        <v>6000</v>
      </c>
      <c r="N51">
        <f>salarydata[[#This Row],[Basic Salary]]*$AC$14</f>
        <v>90000</v>
      </c>
      <c r="O51">
        <f>salarydata[[#This Row],[Basic Salary]]*$AC$15</f>
        <v>30000</v>
      </c>
      <c r="P51">
        <f>salarydata[[#This Row],[Basic Salary]]*$AC$16</f>
        <v>12000</v>
      </c>
      <c r="Q51">
        <f>salarydata[[#This Row],[Basic Salary]]*$AC$17</f>
        <v>12000</v>
      </c>
      <c r="R51">
        <f>salarydata[[#This Row],[Basic Salary]]+salarydata[[#This Row],[ -Performance Bonus (1%)]]+salarydata[[#This Row],[- House Allowance (15%)]]+salarydata[[#This Row],[- Transport Allowance (5%)]]+salarydata[[#This Row],[- wordrope Allowance (2%)]]+salarydata[[#This Row],[- Over Time(2%)]]</f>
        <v>750000</v>
      </c>
      <c r="S51">
        <f>salarydata[[#This Row],[Basic Salary]]*$AC$19</f>
        <v>6000</v>
      </c>
      <c r="T51">
        <f>salarydata[[#This Row],[Basic Salary]]*tax</f>
        <v>30000</v>
      </c>
      <c r="U51">
        <f>salarydata[[#This Row],[Basic Salary]]*healthinsurancepremium</f>
        <v>12000</v>
      </c>
      <c r="V51">
        <f>salarydata[[#This Row],[Basic Salary]]*retirementplan</f>
        <v>12000</v>
      </c>
      <c r="W51">
        <f>salarydata[[#This Row],[- Loan(1%)]]+salarydata[[#This Row],[- Tax(5%)]]+salarydata[[#This Row],[ - Health Insurance Premium(2%)]]+salarydata[[#This Row],[    - Retirement Plan(2%)]]</f>
        <v>60000</v>
      </c>
      <c r="X51">
        <f>salarydata[[#This Row],[- Gross Salary]]-salarydata[[#This Row],[-Total DEDUCTION.]]</f>
        <v>690000</v>
      </c>
      <c r="Y51" s="17">
        <f ca="1">DATEDIF(salarydata[[#This Row],[Hire Date]], TODAY(), "Y")</f>
        <v>10</v>
      </c>
    </row>
  </sheetData>
  <pageMargins left="0.7" right="0.7" top="0.75" bottom="0.75" header="0.3" footer="0.3"/>
  <tableParts count="2">
    <tablePart r:id="rId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7A75A-3773-4326-BA24-8C8C72909921}">
  <dimension ref="A1:B14"/>
  <sheetViews>
    <sheetView workbookViewId="0">
      <selection activeCell="H23" sqref="H23"/>
    </sheetView>
  </sheetViews>
  <sheetFormatPr defaultRowHeight="14.4" x14ac:dyDescent="0.3"/>
  <cols>
    <col min="1" max="1" width="36.88671875" customWidth="1"/>
    <col min="2" max="2" width="10.44140625" customWidth="1"/>
  </cols>
  <sheetData>
    <row r="1" spans="1:2" x14ac:dyDescent="0.3">
      <c r="A1" t="s">
        <v>205</v>
      </c>
      <c r="B1" t="s">
        <v>206</v>
      </c>
    </row>
    <row r="2" spans="1:2" x14ac:dyDescent="0.3">
      <c r="A2" s="2" t="s">
        <v>197</v>
      </c>
      <c r="B2" s="3">
        <v>0.01</v>
      </c>
    </row>
    <row r="3" spans="1:2" x14ac:dyDescent="0.3">
      <c r="A3" s="2" t="s">
        <v>198</v>
      </c>
      <c r="B3" s="3">
        <v>0.15</v>
      </c>
    </row>
    <row r="4" spans="1:2" x14ac:dyDescent="0.3">
      <c r="A4" s="2" t="s">
        <v>199</v>
      </c>
      <c r="B4" s="3">
        <v>0.05</v>
      </c>
    </row>
    <row r="5" spans="1:2" x14ac:dyDescent="0.3">
      <c r="A5" s="2" t="s">
        <v>200</v>
      </c>
      <c r="B5" s="3">
        <v>0.02</v>
      </c>
    </row>
    <row r="6" spans="1:2" x14ac:dyDescent="0.3">
      <c r="A6" s="2" t="s">
        <v>201</v>
      </c>
      <c r="B6" s="3">
        <v>0.02</v>
      </c>
    </row>
    <row r="7" spans="1:2" x14ac:dyDescent="0.3">
      <c r="A7" s="2" t="s">
        <v>202</v>
      </c>
      <c r="B7" s="3"/>
    </row>
    <row r="8" spans="1:2" x14ac:dyDescent="0.3">
      <c r="A8" s="2" t="s">
        <v>203</v>
      </c>
      <c r="B8" s="3">
        <v>0.01</v>
      </c>
    </row>
    <row r="9" spans="1:2" x14ac:dyDescent="0.3">
      <c r="A9" s="2" t="s">
        <v>204</v>
      </c>
      <c r="B9" s="3">
        <v>0.05</v>
      </c>
    </row>
    <row r="11" spans="1:2" x14ac:dyDescent="0.3">
      <c r="A11" s="2" t="s">
        <v>207</v>
      </c>
      <c r="B11" s="3">
        <v>0.02</v>
      </c>
    </row>
    <row r="12" spans="1:2" x14ac:dyDescent="0.3">
      <c r="A12" s="2" t="s">
        <v>208</v>
      </c>
      <c r="B12" s="3">
        <v>0.02</v>
      </c>
    </row>
    <row r="13" spans="1:2" x14ac:dyDescent="0.3">
      <c r="A13" s="2" t="s">
        <v>209</v>
      </c>
    </row>
    <row r="14" spans="1:2" x14ac:dyDescent="0.3">
      <c r="A14" t="s">
        <v>210</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2E75D-3D84-4A76-9C7F-DF872F24E548}">
  <dimension ref="A1:B15"/>
  <sheetViews>
    <sheetView topLeftCell="A3" zoomScale="179" zoomScaleNormal="179" workbookViewId="0">
      <selection activeCell="C13" sqref="C13"/>
    </sheetView>
  </sheetViews>
  <sheetFormatPr defaultRowHeight="14.4" x14ac:dyDescent="0.3"/>
  <cols>
    <col min="1" max="1" width="22.21875" customWidth="1"/>
    <col min="2" max="2" width="19.77734375" customWidth="1"/>
    <col min="3" max="3" width="9.33203125" bestFit="1" customWidth="1"/>
  </cols>
  <sheetData>
    <row r="1" spans="1:2" x14ac:dyDescent="0.3">
      <c r="A1" s="9" t="s">
        <v>236</v>
      </c>
      <c r="B1" s="9" t="s">
        <v>237</v>
      </c>
    </row>
    <row r="2" spans="1:2" x14ac:dyDescent="0.3">
      <c r="A2" t="s">
        <v>230</v>
      </c>
      <c r="B2">
        <f>SUM(salarydata[-Total DEDUCTION.])</f>
        <v>1722000</v>
      </c>
    </row>
    <row r="3" spans="1:2" x14ac:dyDescent="0.3">
      <c r="A3" t="s">
        <v>231</v>
      </c>
      <c r="B3" s="16">
        <f>SUM(salarydata[- Gross Salary])</f>
        <v>21525000</v>
      </c>
    </row>
    <row r="4" spans="1:2" x14ac:dyDescent="0.3">
      <c r="A4" t="s">
        <v>232</v>
      </c>
      <c r="B4">
        <f>SUM(salarydata[-NET SALARY ])</f>
        <v>19803000</v>
      </c>
    </row>
    <row r="5" spans="1:2" x14ac:dyDescent="0.3">
      <c r="A5" t="s">
        <v>238</v>
      </c>
      <c r="B5">
        <f>AVERAGE(salarydata!J8:J51)</f>
        <v>365000</v>
      </c>
    </row>
    <row r="6" spans="1:2" x14ac:dyDescent="0.3">
      <c r="A6" t="s">
        <v>233</v>
      </c>
      <c r="B6">
        <f>MIN(salarydata[Basic Salary])</f>
        <v>180000</v>
      </c>
    </row>
    <row r="7" spans="1:2" x14ac:dyDescent="0.3">
      <c r="A7" t="s">
        <v>234</v>
      </c>
      <c r="B7">
        <f>MAX(salarydata[Basic Salary])</f>
        <v>600000</v>
      </c>
    </row>
    <row r="8" spans="1:2" x14ac:dyDescent="0.3">
      <c r="A8" t="s">
        <v>235</v>
      </c>
      <c r="B8">
        <f>ROWS(salarydata[])</f>
        <v>50</v>
      </c>
    </row>
    <row r="9" spans="1:2" x14ac:dyDescent="0.3">
      <c r="A9" t="s">
        <v>239</v>
      </c>
      <c r="B9">
        <f>MIN(salarydata[Basic Salary])</f>
        <v>180000</v>
      </c>
    </row>
    <row r="12" spans="1:2" x14ac:dyDescent="0.3">
      <c r="A12" t="s">
        <v>243</v>
      </c>
      <c r="B12" s="16">
        <f>SUM(salarydata[Basic Salary])</f>
        <v>17220000</v>
      </c>
    </row>
    <row r="13" spans="1:2" x14ac:dyDescent="0.3">
      <c r="A13" t="s">
        <v>244</v>
      </c>
      <c r="B13">
        <f>AVERAGEIF(salarydata[Gender],"Female",salarydata[Basic Salary])</f>
        <v>304400</v>
      </c>
    </row>
    <row r="14" spans="1:2" x14ac:dyDescent="0.3">
      <c r="A14" t="s">
        <v>245</v>
      </c>
      <c r="B14">
        <f>AVERAGEIF(salarydata[Gender], "Male",salarydata[Basic Salary])</f>
        <v>384400</v>
      </c>
    </row>
    <row r="15" spans="1:2" x14ac:dyDescent="0.3">
      <c r="A15" t="s">
        <v>247</v>
      </c>
      <c r="B15">
        <f ca="1">AVERAGE(salarydata[employee tenure])</f>
        <v>5.76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4103F-2035-4361-92F9-3E0392FC793C}">
  <sheetPr>
    <pageSetUpPr fitToPage="1"/>
  </sheetPr>
  <dimension ref="A1:AB55"/>
  <sheetViews>
    <sheetView tabSelected="1" zoomScaleNormal="100" workbookViewId="0">
      <selection activeCell="A11" sqref="A11"/>
    </sheetView>
  </sheetViews>
  <sheetFormatPr defaultRowHeight="14.4" x14ac:dyDescent="0.3"/>
  <cols>
    <col min="4" max="4" width="13.6640625" customWidth="1"/>
  </cols>
  <sheetData>
    <row r="1" spans="1:28" x14ac:dyDescent="0.3">
      <c r="A1" s="10"/>
      <c r="B1" s="10"/>
      <c r="C1" s="10"/>
      <c r="D1" s="10"/>
      <c r="E1" s="10"/>
      <c r="F1" s="10"/>
      <c r="G1" s="10"/>
      <c r="H1" s="10"/>
      <c r="I1" s="10"/>
      <c r="J1" s="10"/>
      <c r="K1" s="10"/>
      <c r="L1" s="10"/>
      <c r="M1" s="10"/>
      <c r="N1" s="10"/>
      <c r="O1" s="10"/>
      <c r="P1" s="10"/>
      <c r="Q1" s="10"/>
      <c r="R1" s="10"/>
      <c r="S1" s="10"/>
      <c r="T1" s="10"/>
      <c r="U1" s="10"/>
      <c r="V1" s="10"/>
      <c r="W1" s="10"/>
      <c r="X1" s="10"/>
      <c r="Y1" s="10"/>
      <c r="Z1" s="10"/>
      <c r="AA1" s="10"/>
      <c r="AB1" s="10"/>
    </row>
    <row r="2" spans="1:28" x14ac:dyDescent="0.3">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row>
    <row r="3" spans="1:28" x14ac:dyDescent="0.3">
      <c r="A3" s="10"/>
      <c r="B3" s="10"/>
      <c r="C3" s="10"/>
      <c r="D3" s="10"/>
      <c r="E3" s="10"/>
      <c r="F3" s="10"/>
      <c r="G3" s="10"/>
      <c r="H3" s="10"/>
      <c r="I3" s="10"/>
      <c r="J3" s="10"/>
      <c r="K3" s="10"/>
      <c r="L3" s="10"/>
      <c r="M3" s="10"/>
      <c r="N3" s="10"/>
      <c r="O3" s="10"/>
      <c r="P3" s="10"/>
      <c r="Q3" s="10"/>
      <c r="R3" s="10"/>
      <c r="S3" s="10"/>
      <c r="T3" s="10"/>
      <c r="U3" s="10"/>
      <c r="V3" s="10"/>
      <c r="W3" s="10"/>
      <c r="X3" s="10"/>
      <c r="Y3" s="10"/>
      <c r="Z3" s="10"/>
      <c r="AA3" s="10"/>
      <c r="AB3" s="10"/>
    </row>
    <row r="4" spans="1:28" x14ac:dyDescent="0.3">
      <c r="A4" s="10"/>
      <c r="B4" s="10"/>
      <c r="C4" s="10"/>
      <c r="D4" s="10"/>
      <c r="E4" s="10"/>
      <c r="F4" s="10"/>
      <c r="G4" s="10"/>
      <c r="H4" s="10"/>
      <c r="I4" s="10"/>
      <c r="J4" s="10"/>
      <c r="K4" s="10"/>
      <c r="L4" s="10"/>
      <c r="M4" s="10"/>
      <c r="N4" s="10"/>
      <c r="O4" s="10"/>
      <c r="P4" s="10"/>
      <c r="Q4" s="10"/>
      <c r="R4" s="10"/>
      <c r="S4" s="10"/>
      <c r="T4" s="10"/>
      <c r="U4" s="10"/>
      <c r="V4" s="10"/>
      <c r="W4" s="10"/>
      <c r="X4" s="10"/>
      <c r="Y4" s="10"/>
      <c r="Z4" s="10"/>
      <c r="AA4" s="10"/>
      <c r="AB4" s="10"/>
    </row>
    <row r="5" spans="1:28" x14ac:dyDescent="0.3">
      <c r="A5" s="10"/>
      <c r="B5" s="12"/>
      <c r="C5" s="12"/>
      <c r="D5" s="12"/>
      <c r="E5" s="10"/>
      <c r="F5" s="10"/>
      <c r="G5" s="10"/>
      <c r="H5" s="10"/>
      <c r="I5" s="10"/>
      <c r="J5" s="10"/>
      <c r="K5" s="10"/>
      <c r="L5" s="10"/>
      <c r="M5" s="10"/>
      <c r="N5" s="10"/>
      <c r="O5" s="10"/>
      <c r="P5" s="10"/>
      <c r="Q5" s="10"/>
      <c r="R5" s="10"/>
      <c r="S5" s="10"/>
      <c r="T5" s="10"/>
      <c r="U5" s="10"/>
      <c r="V5" s="10"/>
      <c r="W5" s="10"/>
      <c r="X5" s="10"/>
      <c r="Y5" s="10"/>
      <c r="Z5" s="10"/>
      <c r="AA5" s="10"/>
      <c r="AB5" s="10"/>
    </row>
    <row r="6" spans="1:28" x14ac:dyDescent="0.3">
      <c r="A6" s="10"/>
      <c r="B6" s="12"/>
      <c r="C6" s="12"/>
      <c r="D6" s="12"/>
      <c r="E6" s="10"/>
      <c r="F6" s="10"/>
      <c r="G6" s="10"/>
      <c r="H6" s="10"/>
      <c r="I6" s="10"/>
      <c r="J6" s="10"/>
      <c r="K6" s="10"/>
      <c r="L6" s="10"/>
      <c r="M6" s="10"/>
      <c r="N6" s="10"/>
      <c r="O6" s="10"/>
      <c r="P6" s="10"/>
      <c r="Q6" s="10"/>
      <c r="R6" s="10"/>
      <c r="S6" s="10"/>
      <c r="T6" s="10"/>
      <c r="U6" s="10"/>
      <c r="V6" s="10"/>
      <c r="W6" s="10"/>
      <c r="X6" s="10"/>
      <c r="Y6" s="10"/>
      <c r="Z6" s="10"/>
      <c r="AA6" s="10"/>
      <c r="AB6" s="10"/>
    </row>
    <row r="7" spans="1:28" ht="14.4" customHeight="1" x14ac:dyDescent="0.3">
      <c r="A7" s="10"/>
      <c r="B7" s="13">
        <f>GETPIVOTDATA("Sum of -Total DEDUCTION.",pivot!$A$3)</f>
        <v>1722000</v>
      </c>
      <c r="C7" s="13"/>
      <c r="D7" s="13"/>
      <c r="E7" s="10"/>
      <c r="F7" s="14">
        <f>GETPIVOTDATA("Sum of - Gross Salary",pivot!$A$3)</f>
        <v>21525000</v>
      </c>
      <c r="G7" s="14"/>
      <c r="H7" s="14"/>
      <c r="I7" s="14"/>
      <c r="J7" s="10"/>
      <c r="K7" s="15">
        <f>GETPIVOTDATA("Sum of -NET SALARY ",pivot!$A$3)</f>
        <v>19803000</v>
      </c>
      <c r="L7" s="15"/>
      <c r="M7" s="15"/>
      <c r="N7" s="15"/>
      <c r="O7" s="10"/>
      <c r="P7" s="14">
        <f>GETPIVOTDATA("Average of Basic Salary",pivot!$A$3)</f>
        <v>344400</v>
      </c>
      <c r="Q7" s="14"/>
      <c r="R7" s="14"/>
      <c r="S7" s="14"/>
      <c r="T7" s="10"/>
      <c r="U7" s="11">
        <f>GETPIVOTDATA("Count of Employee ID",pivot!$A$3)</f>
        <v>50</v>
      </c>
      <c r="V7" s="11"/>
      <c r="W7" s="11"/>
      <c r="X7" s="10"/>
      <c r="Y7" s="10"/>
      <c r="Z7" s="10"/>
      <c r="AA7" s="10"/>
      <c r="AB7" s="10"/>
    </row>
    <row r="8" spans="1:28" ht="14.4" customHeight="1" x14ac:dyDescent="0.3">
      <c r="A8" s="10"/>
      <c r="B8" s="13"/>
      <c r="C8" s="13"/>
      <c r="D8" s="13"/>
      <c r="E8" s="10"/>
      <c r="F8" s="14"/>
      <c r="G8" s="14"/>
      <c r="H8" s="14"/>
      <c r="I8" s="14"/>
      <c r="J8" s="10"/>
      <c r="K8" s="15"/>
      <c r="L8" s="15"/>
      <c r="M8" s="15"/>
      <c r="N8" s="15"/>
      <c r="O8" s="10"/>
      <c r="P8" s="14"/>
      <c r="Q8" s="14"/>
      <c r="R8" s="14"/>
      <c r="S8" s="14"/>
      <c r="T8" s="10"/>
      <c r="U8" s="11"/>
      <c r="V8" s="11"/>
      <c r="W8" s="11"/>
      <c r="X8" s="10"/>
      <c r="Y8" s="10"/>
      <c r="Z8" s="10"/>
      <c r="AA8" s="10"/>
      <c r="AB8" s="10"/>
    </row>
    <row r="9" spans="1:28" x14ac:dyDescent="0.3">
      <c r="A9" s="10"/>
      <c r="B9" s="10"/>
      <c r="C9" s="10"/>
      <c r="D9" s="10"/>
      <c r="E9" s="10"/>
      <c r="F9" s="10"/>
      <c r="G9" s="10"/>
      <c r="H9" s="10"/>
      <c r="I9" s="10"/>
      <c r="J9" s="10"/>
      <c r="K9" s="10"/>
      <c r="L9" s="10"/>
      <c r="M9" s="10"/>
      <c r="N9" s="10"/>
      <c r="O9" s="10"/>
      <c r="P9" s="10"/>
      <c r="Q9" s="10"/>
      <c r="R9" s="10"/>
      <c r="S9" s="10"/>
      <c r="T9" s="10"/>
      <c r="U9" s="10"/>
      <c r="V9" s="10"/>
      <c r="W9" s="10"/>
      <c r="X9" s="10"/>
      <c r="Y9" s="10"/>
      <c r="Z9" s="10"/>
      <c r="AA9" s="10"/>
      <c r="AB9" s="10"/>
    </row>
    <row r="10" spans="1:28" x14ac:dyDescent="0.3">
      <c r="A10" s="10"/>
      <c r="B10" s="10"/>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row>
    <row r="11" spans="1:28" x14ac:dyDescent="0.3">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row>
    <row r="12" spans="1:28" x14ac:dyDescent="0.3">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c r="AA12" s="10"/>
      <c r="AB12" s="10"/>
    </row>
    <row r="13" spans="1:28" x14ac:dyDescent="0.3">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row>
    <row r="14" spans="1:28" x14ac:dyDescent="0.3">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row>
    <row r="15" spans="1:28" x14ac:dyDescent="0.3">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row>
    <row r="16" spans="1:28" x14ac:dyDescent="0.3">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row>
    <row r="17" spans="1:28" x14ac:dyDescent="0.3">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row>
    <row r="18" spans="1:28" x14ac:dyDescent="0.3">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c r="AB18" s="10"/>
    </row>
    <row r="19" spans="1:28" x14ac:dyDescent="0.3">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c r="AB19" s="10"/>
    </row>
    <row r="20" spans="1:28" x14ac:dyDescent="0.3">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c r="AB20" s="10"/>
    </row>
    <row r="21" spans="1:28" x14ac:dyDescent="0.3">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row>
    <row r="22" spans="1:28" x14ac:dyDescent="0.3">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c r="AB22" s="10"/>
    </row>
    <row r="23" spans="1:28" x14ac:dyDescent="0.3">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row>
    <row r="24" spans="1:28" x14ac:dyDescent="0.3">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row>
    <row r="25" spans="1:28" x14ac:dyDescent="0.3">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row>
    <row r="26" spans="1:28" x14ac:dyDescent="0.3">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row>
    <row r="27" spans="1:28" x14ac:dyDescent="0.3">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c r="AB27" s="10"/>
    </row>
    <row r="28" spans="1:28" x14ac:dyDescent="0.3">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row>
    <row r="29" spans="1:28" x14ac:dyDescent="0.3">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row>
    <row r="30" spans="1:28" x14ac:dyDescent="0.3">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row>
    <row r="31" spans="1:28" x14ac:dyDescent="0.3">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row>
    <row r="32" spans="1:28" x14ac:dyDescent="0.3">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row>
    <row r="33" spans="1:28" x14ac:dyDescent="0.3">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row>
    <row r="34" spans="1:28" x14ac:dyDescent="0.3">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row>
    <row r="35" spans="1:28" x14ac:dyDescent="0.3">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row>
    <row r="36" spans="1:28" x14ac:dyDescent="0.3">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row>
    <row r="37" spans="1:28" x14ac:dyDescent="0.3">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row>
    <row r="38" spans="1:28" x14ac:dyDescent="0.3">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row>
    <row r="39" spans="1:28" x14ac:dyDescent="0.3">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row>
    <row r="40" spans="1:28" x14ac:dyDescent="0.3">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row>
    <row r="41" spans="1:28" x14ac:dyDescent="0.3">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row>
    <row r="42" spans="1:28" x14ac:dyDescent="0.3">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row>
    <row r="43" spans="1:28" x14ac:dyDescent="0.3">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row>
    <row r="44" spans="1:28" x14ac:dyDescent="0.3">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row>
    <row r="45" spans="1:28" x14ac:dyDescent="0.3">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row>
    <row r="46" spans="1:28" x14ac:dyDescent="0.3">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row>
    <row r="47" spans="1:28" x14ac:dyDescent="0.3">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row>
    <row r="48" spans="1:28" x14ac:dyDescent="0.3">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row>
    <row r="49" spans="1:28" x14ac:dyDescent="0.3">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row>
    <row r="50" spans="1:28" x14ac:dyDescent="0.3">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row>
    <row r="51" spans="1:28" x14ac:dyDescent="0.3">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row>
    <row r="52" spans="1:28" x14ac:dyDescent="0.3">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row>
    <row r="53" spans="1:28" x14ac:dyDescent="0.3">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row>
    <row r="54" spans="1:28" x14ac:dyDescent="0.3">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row>
    <row r="55" spans="1:28" x14ac:dyDescent="0.3">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row>
  </sheetData>
  <mergeCells count="6">
    <mergeCell ref="U7:W8"/>
    <mergeCell ref="B5:D6"/>
    <mergeCell ref="B7:D8"/>
    <mergeCell ref="F7:I8"/>
    <mergeCell ref="K7:N8"/>
    <mergeCell ref="P7:S8"/>
  </mergeCells>
  <pageMargins left="0.7" right="0.7" top="0.75" bottom="0.75" header="0.3" footer="0.3"/>
  <pageSetup paperSize="9" scale="49"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E49985C-7F77-4566-A6BB-F7B0EBB2D10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4</vt:i4>
      </vt:variant>
    </vt:vector>
  </HeadingPairs>
  <TitlesOfParts>
    <vt:vector size="16" baseType="lpstr">
      <vt:lpstr>Raw data</vt:lpstr>
      <vt:lpstr>basicsalarybydepartment</vt:lpstr>
      <vt:lpstr>net salary by department</vt:lpstr>
      <vt:lpstr>AVERAGE BASIC SALARY BY YEARS O</vt:lpstr>
      <vt:lpstr>LOAN DEDUCTION</vt:lpstr>
      <vt:lpstr>BASIC AND NET SALARY BY DEPARTM</vt:lpstr>
      <vt:lpstr>pivot</vt:lpstr>
      <vt:lpstr>Salary by gender</vt:lpstr>
      <vt:lpstr>salarydata</vt:lpstr>
      <vt:lpstr>employe benefit</vt:lpstr>
      <vt:lpstr>kpi</vt:lpstr>
      <vt:lpstr>dashboard with interactive kpi</vt:lpstr>
      <vt:lpstr>healthinsurancepremium</vt:lpstr>
      <vt:lpstr>performancePercentage</vt:lpstr>
      <vt:lpstr>retirementplan</vt:lpstr>
      <vt:lpstr>tax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Onyekachukwu Stephanie</dc:creator>
  <cp:lastModifiedBy>Onyekachukwu Stephanie</cp:lastModifiedBy>
  <cp:lastPrinted>2026-09-11T14:03:49Z</cp:lastPrinted>
  <dcterms:created xsi:type="dcterms:W3CDTF">2026-09-03T09:07:11Z</dcterms:created>
  <dcterms:modified xsi:type="dcterms:W3CDTF">2026-09-14T13:36:48Z</dcterms:modified>
</cp:coreProperties>
</file>